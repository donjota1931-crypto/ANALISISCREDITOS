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_rels/drawing1.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comments9.xml" ContentType="application/vnd.openxmlformats-officedocument.spreadsheetml.comments+xml"/>
  <Override PartName="/xl/comments10.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álisis Evaluación Crediticio" sheetId="1" state="visible" r:id="rId3"/>
    <sheet name="ENTRADA DE PARAMETROS" sheetId="2" state="hidden" r:id="rId4"/>
    <sheet name="DETALLE DE CALIFICACIONES" sheetId="3" state="hidden" r:id="rId5"/>
    <sheet name="INGRESO DE DATOS" sheetId="4" state="hidden" r:id="rId6"/>
    <sheet name="FECHAS DE ACTUALIZACI{ON" sheetId="5" state="hidden" r:id="rId7"/>
    <sheet name="FORMULAS" sheetId="6" state="hidden" r:id="rId8"/>
    <sheet name="OFICIALES DE NEGOCIO" sheetId="7" state="hidden" r:id="rId9"/>
    <sheet name="TIPOS DE PRÉSTAMO" sheetId="8" state="visible" r:id="rId10"/>
    <sheet name=" Seguro de Desgravamen Tit+Cony" sheetId="9" state="visible" r:id="rId11"/>
    <sheet name=" Seguro de Desgravamen Titular" sheetId="10" state="visible" r:id="rId12"/>
    <sheet name="TIPO DE CARTERA" sheetId="11" state="hidden" r:id="rId13"/>
    <sheet name="SEGMENTOS DE CREDITO" sheetId="12" state="hidden" r:id="rId14"/>
    <sheet name="CÓDIGO OFICINA" sheetId="13" state="hidden" r:id="rId15"/>
  </sheets>
  <definedNames>
    <definedName function="false" hidden="true" localSheetId="6" name="_xlnm._FilterDatabase" vbProcedure="false">'OFICIALES DE NEGOCIO'!$A$3:$E$92</definedName>
    <definedName function="false" hidden="false" name="Alícuota" vbProcedure="false">NA()</definedName>
    <definedName function="false" hidden="false" name="Categoría" vbProcedure="false">'ENTRADA DE PARAMETROS'!$K$15</definedName>
    <definedName function="false" hidden="false" name="Certificados" vbProcedure="false">NA()</definedName>
    <definedName function="false" hidden="false" name="Comisión" vbProcedure="false">NA()</definedName>
    <definedName function="false" hidden="false" name="Excel_BuiltIn_Print_Area" vbProcedure="false">'ENTRADA DE PARAMETROS'!$A$1:$P$166</definedName>
    <definedName function="false" hidden="false" name="ICC" vbProcedure="false">NA()</definedName>
    <definedName function="false" hidden="false" name="Monto" vbProcedure="false">'ENTRADA DE PARAMETROS'!$A$13</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name="Tipo" vbProcedure="false">'ENTRADA DE PARAMETROS'!$N$9</definedName>
    <definedName function="false" hidden="false" name="Total" vbProcedure="false">'ENTRADA DE PARAMETROS'!$F$15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B11" authorId="0">
      <text>
        <r>
          <rPr>
            <sz val="10"/>
            <rFont val="Arial"/>
            <family val="2"/>
          </rPr>
          <t xml:space="preserve">1-01 PRODUCTIVO CORPORATIVO
1-02 PRODUCTIVO EMPRESARIAL
1-03 PRODUCTIVO PYMES
2-01 MICROCRÉDITO MINORISTA
2-02 MICROCRÉDITO ACUMULACIÓN SIMPLE
2-03 MICROCRÉDITO ACUMULACIÓN AMPLIADA
3-0   INMOBILIARIO  
4-0   CONSUMO     
5-0   EDUCATIVO  </t>
        </r>
      </text>
    </comment>
    <comment ref="O5" authorId="0">
      <text>
        <r>
          <rPr>
            <sz val="10"/>
            <rFont val="Arial"/>
            <family val="2"/>
          </rPr>
          <t xml:space="preserve">VER LA HOJA DE LISTADO DE TIPOS DE PRÉSTAMO O HACIENDO CLIC SOBRE EL NÚMERO</t>
        </r>
      </text>
    </comment>
    <comment ref="O6" authorId="0">
      <text>
        <r>
          <rPr>
            <sz val="10"/>
            <rFont val="Arial"/>
            <family val="2"/>
          </rPr>
          <t xml:space="preserve">1       PRODUCTIVO
1-01   PRODUCTIVO REFINANCIADO
1-02  PRODUCTIVO REESTRUCTURADO
2       MICROCREDITO
2-01  MICROCREDITO REFINANCIADO
2-02  MICROCREDITO REESTRUCTURADO
3       INMOBILIARIO
3-01  INMOBILIARIO REFINANCIADO
3-02 INMOBILIARIO REESTRUCTURADO
4      CONSUMO 
4-01  CONSUMO REFINANCIADO
4-02  CONSUMO REESTRUCTURADO
5       EDUCATIVO
5-01   EDUCATIVO REFINANCIADO
5-02  EDUCATIVO REESTRUCTURADO
</t>
        </r>
      </text>
    </comment>
    <comment ref="O7" authorId="0">
      <text>
        <r>
          <rPr>
            <sz val="10"/>
            <rFont val="Arial"/>
            <family val="2"/>
          </rPr>
          <t xml:space="preserve">1    TULCAN
2   SAN GABRIEL 
3   BOLIVAR
4   MIRA
5   IBARRA
6   QUITO
7   LAGO AGRIO
8   IBARRA AMAZONAS
9   IBARRA MAYORISTA
10  ATUNTAQUI
11   OTAVALO
12  CAYAMBE
13  GUAMANI
</t>
        </r>
      </text>
    </comment>
    <comment ref="Q53" authorId="0">
      <text>
        <r>
          <rPr>
            <sz val="10"/>
            <rFont val="Arial"/>
            <family val="2"/>
          </rPr>
          <t xml:space="preserve">Ingresar manualmente cuando se realice el comité respectivo.</t>
        </r>
      </text>
    </comment>
    <comment ref="Q63" authorId="0">
      <text>
        <r>
          <rPr>
            <sz val="10"/>
            <rFont val="Arial"/>
            <family val="2"/>
          </rPr>
          <t xml:space="preserve">Ingresar manualmente cuando se realice el comité respectivo.</t>
        </r>
      </text>
    </comment>
  </commentList>
</comments>
</file>

<file path=xl/comments9.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comments10.xml><?xml version="1.0" encoding="utf-8"?>
<comments xmlns="http://schemas.openxmlformats.org/spreadsheetml/2006/main" xmlns:xdr="http://schemas.openxmlformats.org/drawingml/2006/spreadsheetDrawing">
  <authors>
    <author>Autoría desconocida</author>
  </authors>
  <commentList>
    <comment ref="B15" authorId="0">
      <text>
        <r>
          <rPr>
            <sz val="10"/>
            <rFont val="Arial"/>
            <family val="2"/>
          </rPr>
          <t xml:space="preserve">MONTENEGRO ARGOTI YAHAIRA ELIZABETH:
</t>
        </r>
        <r>
          <rPr>
            <sz val="9"/>
            <color rgb="FF000000"/>
            <rFont val="Tahoma"/>
            <family val="2"/>
            <charset val="1"/>
          </rPr>
          <t xml:space="preserve">Nueva tasa del SEGURO DE DESGRAVAMEN a partir del 14/03/2022.</t>
        </r>
      </text>
    </comment>
    <comment ref="D13" authorId="0">
      <text>
        <r>
          <rPr>
            <sz val="10"/>
            <rFont val="Arial"/>
            <family val="2"/>
          </rPr>
          <t xml:space="preserve">El valor del seguro es diferente entre 5,00 y 10,00 usd en los creditos con plazos de hasta 72 meses en los creditos de VIVIENDA es mucho mayor que estaria entre 40 a 80 dolares en vista que Financial calcula en funcion de días acorde a la fecha de pago y en esta tabla esta 30 dias para cada cuota.</t>
        </r>
      </text>
    </comment>
  </commentList>
</comments>
</file>

<file path=xl/sharedStrings.xml><?xml version="1.0" encoding="utf-8"?>
<sst xmlns="http://schemas.openxmlformats.org/spreadsheetml/2006/main" count="1144" uniqueCount="795">
  <si>
    <t xml:space="preserve">ANÁLISIS Y EVALUACIÓN CREDITICIO
Para uso exclusivo del Departamento de Crédito</t>
  </si>
  <si>
    <t xml:space="preserve">Cliente N°</t>
  </si>
  <si>
    <t xml:space="preserve">Apellidos y Nombres</t>
  </si>
  <si>
    <t xml:space="preserve">Destino</t>
  </si>
  <si>
    <t xml:space="preserve">COMPRA DE TERRENO</t>
  </si>
  <si>
    <t xml:space="preserve">Tipo de Préstamo:</t>
  </si>
  <si>
    <t xml:space="preserve">4</t>
  </si>
  <si>
    <t xml:space="preserve">228566</t>
  </si>
  <si>
    <t xml:space="preserve">NAVAS PEÑAHERRERA GABRIEL HUMBERTO</t>
  </si>
  <si>
    <t xml:space="preserve">Tipo de Cartera:</t>
  </si>
  <si>
    <t xml:space="preserve">Oficina:</t>
  </si>
  <si>
    <t xml:space="preserve">Monto</t>
  </si>
  <si>
    <t xml:space="preserve">Interés</t>
  </si>
  <si>
    <t xml:space="preserve">Plazo (meses)</t>
  </si>
  <si>
    <t xml:space="preserve">Pagos (días)</t>
  </si>
  <si>
    <t xml:space="preserve">Cuota Decreciente</t>
  </si>
  <si>
    <t xml:space="preserve">Cuota Fija</t>
  </si>
  <si>
    <t xml:space="preserve">Oficial de Negocios asignado</t>
  </si>
  <si>
    <t xml:space="preserve">Fecha</t>
  </si>
  <si>
    <t xml:space="preserve">7-03</t>
  </si>
  <si>
    <t xml:space="preserve">Subsegmentación de Cartera </t>
  </si>
  <si>
    <t xml:space="preserve">Descripción</t>
  </si>
  <si>
    <t xml:space="preserve">4-0</t>
  </si>
  <si>
    <t xml:space="preserve">COMENTARIOS DE CARÁCTER</t>
  </si>
  <si>
    <r>
      <rPr>
        <sz val="24"/>
        <color rgb="FF000000"/>
        <rFont val="Arial"/>
        <family val="2"/>
        <charset val="1"/>
      </rPr>
      <t xml:space="preserve">Segundo credito a solicitar en la CPMV. En el sistema Financiero Nacional refleja operaciones vigentes en: </t>
    </r>
    <r>
      <rPr>
        <sz val="24"/>
        <rFont val="Arial"/>
        <family val="2"/>
        <charset val="1"/>
      </rPr>
      <t xml:space="preserve">CPMV 11217.14 USD</t>
    </r>
    <r>
      <rPr>
        <b val="true"/>
        <sz val="24"/>
        <color rgb="FFFF0000"/>
        <rFont val="Arial"/>
        <family val="2"/>
        <charset val="1"/>
      </rPr>
      <t xml:space="preserve">.</t>
    </r>
    <r>
      <rPr>
        <sz val="24"/>
        <color rgb="FF000000"/>
        <rFont val="Arial"/>
        <family val="2"/>
        <charset val="1"/>
      </rPr>
      <t xml:space="preserve"> Su segmentación es 911 AA, reporte crediticio favorable para un crédito ordinario sin garante. La vivienda en la que reside es arrendada, ubicada en el cantón de Lago Agrio, parroquia Nueva Loja, provincia de Sucumbíos, en el barrio Santa Isabel, a lado de la pizzeria like. Solicitante, goza de buen estado de salud con 23 años de edad, de estado civil soltero, no posee cargas familiares menores de edad; su nivel de instrucción es bachiller, labora de manera independiente. Buenas referencias de quienes la conocen, amigos y familiares cercanos al socio: señora, Deysi Peñaherrera (madre); Israel Peñaherrera (tio) y Wilson Navas (padre); quienes dan testimonio de conocer a al socio por algún tiempo, mismo que ha demostrado ser una persona proba en sus obligaciones </t>
    </r>
  </si>
  <si>
    <t xml:space="preserve">&lt;</t>
  </si>
  <si>
    <t xml:space="preserve">COMENTARIOS DE CAPACIDAD DE PAGO</t>
  </si>
  <si>
    <r>
      <rPr>
        <sz val="24"/>
        <color rgb="FF000000"/>
        <rFont val="Arial"/>
        <family val="2"/>
        <charset val="1"/>
      </rPr>
      <t xml:space="preserve">Solicitante es independiente, propietario de </t>
    </r>
    <r>
      <rPr>
        <b val="true"/>
        <sz val="24"/>
        <color rgb="FF000000"/>
        <rFont val="Arial"/>
        <family val="2"/>
        <charset val="1"/>
      </rPr>
      <t xml:space="preserve">ELECTROSERVICIOS NAVAS</t>
    </r>
    <r>
      <rPr>
        <sz val="24"/>
        <color rgb="FF000000"/>
        <rFont val="Arial"/>
        <family val="2"/>
        <charset val="1"/>
      </rPr>
      <t xml:space="preserve">, actividad relacionada con la electromecánica, se respalda con la presentación RUC y últimas tres declaraciones. Según el levantamiento de información sus ingresos se consideran por el valor de 1389 USD, sus gastos personales mensuales son de 595.71 USD generando un excedente mensual de 793.29 USD. Según la evaluación y luego de aplicar el castigo del 30% que es de acuerdo a la fuente de ingresos se comprueba que éstos son suficientes para cubrir las cuota del crédito; es decir que la cuota propuesta es de 481.06 USD VS el excedente 793.29 USD se compromete en un 60%. Se comprueba que el socio tiene la capacidad de pago adecuada para esta operación crediticia. Los pagos se realizarán de los ingresos mensuales percibidos por la solicitante.</t>
    </r>
  </si>
  <si>
    <t xml:space="preserve">COMENTARIOS DE CAPITAL</t>
  </si>
  <si>
    <t xml:space="preserve">Sus activos están conformados por sus bienes muebles, con un total de activos de 22335.18 USD. Posee pasivos por 11271.14 USD, por lo tanto, su patrimonio es de 11064.04 USD. El monto recomendado para aprobación es de 20000 USD. Se determina que socio se encuentra en condiciones favorables, capacidad de pago acorde al monto solicitado y un patrimonio que cumple con el 200% de la política exigida en la institución.</t>
  </si>
  <si>
    <t xml:space="preserve">COMENTARIOS DE COLATERAL</t>
  </si>
  <si>
    <t xml:space="preserve">El garante, señor, PEÑAHERRERA MUÑOZ ISRAEL ALFONSO, de estado civil casado, sus ingresos son de actividad de COMERCIANTE DE ROPA y ARTÍCULOS para el hogar, se adjunta RUC,declaracion y facturas. Mantienen obligaciones vigentes en: PICHINCHA VISA 10695.90 USD; PACIFICO VISA 226.66 USD; PICHINCHA 20908.84 USD; PICHINCHA 7503.70 USD; PICHINCHA 5885.95 USD; PICHINCHA 5217.77 USD; COOP 23 DE JULIO 14149.71 USD y CONECEL 36 USD. Presenta activos por USD 155650, resultando en un patrimonio de USD 91025.47 USD. Su segmentación de riesgo AA 940. Con base en el levantamiento de información, sus ingresos mensuales ascienden a USD 4342.50, mientras que los gastos personales se consideran por 3563.38 USD , generando un excedente de USD 779.12. En consecuencia, el garante cuenta con capacidad de pago suficiente para respaldar la cuota del deudor principal. 
</t>
  </si>
  <si>
    <t xml:space="preserve">COMENTARIO DE CONDICIONES GENERALES</t>
  </si>
  <si>
    <t xml:space="preserve">Se recomienda la aprobación del crédito, socio con actividad estable; garante posee patrimonio. En el sistema financiero nacional no registra, reporte por mora ni vencimientos. Sector económico estable. Se recomienda su aprobación por tiempo y monto propuesto. Revisadas páginas de la Judicatura, no se encuentra inconvenientes para el otorgamiento de la operación crediticia </t>
  </si>
  <si>
    <r>
      <rPr>
        <b val="true"/>
        <sz val="24"/>
        <rFont val="Arial"/>
        <family val="2"/>
        <charset val="1"/>
      </rPr>
      <t xml:space="preserve">ORDINARIO / CONSUMO:</t>
    </r>
    <r>
      <rPr>
        <sz val="24"/>
        <rFont val="Arial"/>
        <family val="2"/>
        <charset val="1"/>
      </rPr>
      <t xml:space="preserve"> Crédito bajo reglamento. Cumple con todos los requisitos, se conceda un monto de VEINTE MIL 00/100 (USD 20.000.00) a un plazo de 60 MESES, pagos mensuales. Se recomienda su aprobación por tiempo y monto propuesto, cliente cumple con todos los requisitos.</t>
    </r>
  </si>
  <si>
    <t xml:space="preserve">RESOLUCIÓN DEL COMITÉ DE CRÉDITO OFICINA</t>
  </si>
  <si>
    <t xml:space="preserve">COMITÉ DE CRÉDITO OFICINA - Nº Acta :</t>
  </si>
  <si>
    <t xml:space="preserve">APROBADO:</t>
  </si>
  <si>
    <t xml:space="preserve">OBSERVACIONES:</t>
  </si>
  <si>
    <t xml:space="preserve">SUSPENSO:</t>
  </si>
  <si>
    <t xml:space="preserve">NEGADO:</t>
  </si>
  <si>
    <t xml:space="preserve">FECHA:</t>
  </si>
  <si>
    <t xml:space="preserve">PRESIDENTE</t>
  </si>
  <si>
    <t xml:space="preserve">SECRETARIO</t>
  </si>
  <si>
    <t xml:space="preserve">VOCAL</t>
  </si>
  <si>
    <t xml:space="preserve">RESOLUCIÓN DEL COMITÉ DE CRÉDITO EJECUTIVO O GENERAL</t>
  </si>
  <si>
    <t xml:space="preserve">COMITÉ DE CRÉDITO EJECUTIVO O GENERAL- Nº Acta :</t>
  </si>
  <si>
    <t xml:space="preserve">RESOLUCIÓN DEL CONSEJO DE ADMINISTRACIÓN</t>
  </si>
  <si>
    <t xml:space="preserve">PARAMETROS DE CALIFICACION DE RIESGO</t>
  </si>
  <si>
    <t xml:space="preserve">PARAMETROS DE CALIFICACION PARA CAPACIDAD DE PAGO</t>
  </si>
  <si>
    <t xml:space="preserve">Valorar sobre 10         </t>
  </si>
  <si>
    <t xml:space="preserve">1. Carácter</t>
  </si>
  <si>
    <t xml:space="preserve">3.1   Capacidad de pago</t>
  </si>
  <si>
    <t xml:space="preserve">2. Capacidad de Gestión</t>
  </si>
  <si>
    <t xml:space="preserve">3.2   Rentabilidad sobre Capital</t>
  </si>
  <si>
    <t xml:space="preserve">3. Capacidad de Pago</t>
  </si>
  <si>
    <t xml:space="preserve">3.3   Sostenibilidad</t>
  </si>
  <si>
    <t xml:space="preserve">4. Colateral</t>
  </si>
  <si>
    <t xml:space="preserve">3.4   Nivel de endeudamiento</t>
  </si>
  <si>
    <t xml:space="preserve">5. Condiciones de mercado</t>
  </si>
  <si>
    <t xml:space="preserve">3.5   Medios de producción</t>
  </si>
  <si>
    <t xml:space="preserve">PUNTAJE TOTAL SOBRE 100</t>
  </si>
  <si>
    <t xml:space="preserve">3.6   Razon Corriente</t>
  </si>
  <si>
    <t xml:space="preserve">3.7   Reprocidad de depòsitos</t>
  </si>
  <si>
    <t xml:space="preserve">PARAMETROS DE CALIFICACION PARA CARACTER</t>
  </si>
  <si>
    <t xml:space="preserve">1.1   Experiencia crediticia</t>
  </si>
  <si>
    <t xml:space="preserve">PARAMETROS DE CALIFICACION PARA COLATERAL</t>
  </si>
  <si>
    <t xml:space="preserve">1.2   Arraigo del negocio</t>
  </si>
  <si>
    <t xml:space="preserve">1.3   Calidad de referencias</t>
  </si>
  <si>
    <t xml:space="preserve">4.1   GARANTIA REAL</t>
  </si>
  <si>
    <t xml:space="preserve">1.4   Calificación Interna</t>
  </si>
  <si>
    <t xml:space="preserve">4.1.1   Comercialización</t>
  </si>
  <si>
    <t xml:space="preserve">1.5   Arraigo Residencial</t>
  </si>
  <si>
    <t xml:space="preserve">4.1.2   Estado</t>
  </si>
  <si>
    <t xml:space="preserve">1.6   Estado Civil</t>
  </si>
  <si>
    <t xml:space="preserve">4.1.3   Movilización</t>
  </si>
  <si>
    <t xml:space="preserve">1.7   Genero</t>
  </si>
  <si>
    <t xml:space="preserve">4.1.4   Calidad edif. Adyacentes</t>
  </si>
  <si>
    <t xml:space="preserve">1.8   Datos Generales bàsicos</t>
  </si>
  <si>
    <t xml:space="preserve">4.1.5   Servicios Básicos</t>
  </si>
  <si>
    <t xml:space="preserve">4.1.6   Avalúo</t>
  </si>
  <si>
    <t xml:space="preserve">PARAMETROS DE CALIFICACION PARA CAPACIDAD DE GESTION</t>
  </si>
  <si>
    <t xml:space="preserve">4.2   GARANTIA PERSONAL</t>
  </si>
  <si>
    <t xml:space="preserve">4.2.1   Historial Credicitio</t>
  </si>
  <si>
    <t xml:space="preserve">2.1   Experiencia en la actividad</t>
  </si>
  <si>
    <t xml:space="preserve">4.2.2   Capacidad de Pago</t>
  </si>
  <si>
    <t xml:space="preserve">2.2   Organización del negocio</t>
  </si>
  <si>
    <t xml:space="preserve">4.2.3   Patrimonio</t>
  </si>
  <si>
    <t xml:space="preserve">2.3   Dependencia de clientes</t>
  </si>
  <si>
    <t xml:space="preserve">4.2.4   Documentos de respaldo</t>
  </si>
  <si>
    <t xml:space="preserve">2.4   Dependencia de proveedores</t>
  </si>
  <si>
    <t xml:space="preserve">2.5   Dependencia del personal</t>
  </si>
  <si>
    <t xml:space="preserve">2.6   Dependencia de la actividad del socio</t>
  </si>
  <si>
    <t xml:space="preserve">PARAMETROS DE CALIFICACION PARA CONDICIONES DE MERCADO</t>
  </si>
  <si>
    <t xml:space="preserve">2.7   Capacidad Administrativa (Educación)</t>
  </si>
  <si>
    <t xml:space="preserve">2.8   Local del negocio  (SECTOR RURAL) (SECTOR URBANO)</t>
  </si>
  <si>
    <t xml:space="preserve">5.1 Nivel de competencia</t>
  </si>
  <si>
    <t xml:space="preserve">5.2 Dinámica del sector</t>
  </si>
  <si>
    <t xml:space="preserve">5.3 Aceptación del producto</t>
  </si>
  <si>
    <t xml:space="preserve">1.  CARÁCTER</t>
  </si>
  <si>
    <t xml:space="preserve">2.  CAPACIDAD DE GESTION </t>
  </si>
  <si>
    <t xml:space="preserve">3.  CAPACIDAD DE PAGO</t>
  </si>
  <si>
    <t xml:space="preserve">4.  COLATERAL</t>
  </si>
  <si>
    <t xml:space="preserve">5. CONDICIONES/MERCADO</t>
  </si>
  <si>
    <t xml:space="preserve">1.1  Experiencia crediticia</t>
  </si>
  <si>
    <t xml:space="preserve">2.1 Experiencia en la actividad</t>
  </si>
  <si>
    <t xml:space="preserve">3.1 Capacidad de pago</t>
  </si>
  <si>
    <t xml:space="preserve">4.1 GARANTIA REAL</t>
  </si>
  <si>
    <r>
      <rPr>
        <b val="true"/>
        <sz val="9"/>
        <rFont val="Lucida Casual"/>
        <family val="0"/>
        <charset val="1"/>
      </rPr>
      <t xml:space="preserve">1</t>
    </r>
    <r>
      <rPr>
        <sz val="8"/>
        <rFont val="Lucida Casual"/>
        <family val="4"/>
        <charset val="1"/>
      </rPr>
      <t xml:space="preserve">      Puntual</t>
    </r>
  </si>
  <si>
    <r>
      <rPr>
        <b val="true"/>
        <sz val="8"/>
        <rFont val="Lucida Casual"/>
        <family val="0"/>
        <charset val="1"/>
      </rPr>
      <t xml:space="preserve">1    </t>
    </r>
    <r>
      <rPr>
        <sz val="8"/>
        <rFont val="Lucida Casual"/>
        <family val="4"/>
        <charset val="1"/>
      </rPr>
      <t xml:space="preserve">Más de 5 años</t>
    </r>
  </si>
  <si>
    <r>
      <rPr>
        <b val="true"/>
        <sz val="8"/>
        <rFont val="Lucida Casual"/>
        <family val="0"/>
        <charset val="1"/>
      </rPr>
      <t xml:space="preserve">1    </t>
    </r>
    <r>
      <rPr>
        <sz val="8"/>
        <rFont val="Lucida Casual"/>
        <family val="0"/>
        <charset val="1"/>
      </rPr>
      <t xml:space="preserve">S</t>
    </r>
    <r>
      <rPr>
        <sz val="8"/>
        <rFont val="Lucida Casual"/>
        <family val="4"/>
        <charset val="1"/>
      </rPr>
      <t xml:space="preserve">uficiente capacidad, cubre la cuota con exceso</t>
    </r>
  </si>
  <si>
    <t xml:space="preserve">Comercialización:</t>
  </si>
  <si>
    <r>
      <rPr>
        <b val="true"/>
        <sz val="8"/>
        <rFont val="Lucida Casual"/>
        <family val="0"/>
        <charset val="1"/>
      </rPr>
      <t xml:space="preserve">1    </t>
    </r>
    <r>
      <rPr>
        <sz val="8"/>
        <rFont val="Lucida Casual"/>
        <family val="4"/>
        <charset val="1"/>
      </rPr>
      <t xml:space="preserve">Sin competencia en el medio</t>
    </r>
  </si>
  <si>
    <r>
      <rPr>
        <b val="true"/>
        <sz val="9"/>
        <rFont val="Lucida Casual"/>
        <family val="0"/>
        <charset val="1"/>
      </rPr>
      <t xml:space="preserve">2</t>
    </r>
    <r>
      <rPr>
        <sz val="8"/>
        <rFont val="Lucida Casual"/>
        <family val="4"/>
        <charset val="1"/>
      </rPr>
      <t xml:space="preserve">      Atrazado</t>
    </r>
  </si>
  <si>
    <r>
      <rPr>
        <b val="true"/>
        <sz val="8"/>
        <rFont val="Lucida Casual"/>
        <family val="0"/>
        <charset val="1"/>
      </rPr>
      <t xml:space="preserve">2    </t>
    </r>
    <r>
      <rPr>
        <sz val="8"/>
        <rFont val="Lucida Casual"/>
        <family val="4"/>
        <charset val="1"/>
      </rPr>
      <t xml:space="preserve">Entre 3 y 5 años</t>
    </r>
  </si>
  <si>
    <t xml:space="preserve">      sobre  el 30%; ingresos provienen del negocio </t>
  </si>
  <si>
    <r>
      <rPr>
        <b val="true"/>
        <sz val="8"/>
        <rFont val="Lucida Casual"/>
        <family val="0"/>
        <charset val="1"/>
      </rPr>
      <t xml:space="preserve">1    </t>
    </r>
    <r>
      <rPr>
        <sz val="8"/>
        <rFont val="Lucida Casual"/>
        <family val="0"/>
        <charset val="1"/>
      </rPr>
      <t xml:space="preserve">Corto Plazo</t>
    </r>
  </si>
  <si>
    <r>
      <rPr>
        <b val="true"/>
        <sz val="8"/>
        <rFont val="Lucida Casual"/>
        <family val="0"/>
        <charset val="1"/>
      </rPr>
      <t xml:space="preserve">2    </t>
    </r>
    <r>
      <rPr>
        <sz val="8"/>
        <rFont val="Lucida Casual"/>
        <family val="4"/>
        <charset val="1"/>
      </rPr>
      <t xml:space="preserve">Mediana competencia</t>
    </r>
  </si>
  <si>
    <r>
      <rPr>
        <b val="true"/>
        <sz val="9"/>
        <rFont val="Lucida Casual"/>
        <family val="0"/>
        <charset val="1"/>
      </rPr>
      <t xml:space="preserve">3</t>
    </r>
    <r>
      <rPr>
        <sz val="8"/>
        <rFont val="Lucida Casual"/>
        <family val="4"/>
        <charset val="1"/>
      </rPr>
      <t xml:space="preserve">      Moroso</t>
    </r>
  </si>
  <si>
    <r>
      <rPr>
        <b val="true"/>
        <sz val="8"/>
        <rFont val="Lucida Casual"/>
        <family val="0"/>
        <charset val="1"/>
      </rPr>
      <t xml:space="preserve">3    </t>
    </r>
    <r>
      <rPr>
        <sz val="8"/>
        <rFont val="Lucida Casual"/>
        <family val="4"/>
        <charset val="1"/>
      </rPr>
      <t xml:space="preserve">Entre 1 y 3 años</t>
    </r>
  </si>
  <si>
    <r>
      <rPr>
        <b val="true"/>
        <sz val="8"/>
        <rFont val="Lucida Casual"/>
        <family val="0"/>
        <charset val="1"/>
      </rPr>
      <t xml:space="preserve">2    </t>
    </r>
    <r>
      <rPr>
        <sz val="8"/>
        <rFont val="Lucida Casual"/>
        <family val="4"/>
        <charset val="1"/>
      </rPr>
      <t xml:space="preserve">Buena capacidad, cubre la cuota con exceso de hasta</t>
    </r>
  </si>
  <si>
    <r>
      <rPr>
        <b val="true"/>
        <sz val="8"/>
        <rFont val="Lucida Casual"/>
        <family val="0"/>
        <charset val="1"/>
      </rPr>
      <t xml:space="preserve">2    </t>
    </r>
    <r>
      <rPr>
        <sz val="8"/>
        <rFont val="Lucida Casual"/>
        <family val="0"/>
        <charset val="1"/>
      </rPr>
      <t xml:space="preserve">Mediano</t>
    </r>
  </si>
  <si>
    <r>
      <rPr>
        <b val="true"/>
        <sz val="8"/>
        <rFont val="Lucida Casual"/>
        <family val="0"/>
        <charset val="1"/>
      </rPr>
      <t xml:space="preserve">3    </t>
    </r>
    <r>
      <rPr>
        <sz val="8"/>
        <rFont val="Lucida Casual"/>
        <family val="4"/>
        <charset val="1"/>
      </rPr>
      <t xml:space="preserve">Alta competencia</t>
    </r>
  </si>
  <si>
    <r>
      <rPr>
        <b val="true"/>
        <sz val="9"/>
        <rFont val="Lucida Casual"/>
        <family val="0"/>
        <charset val="1"/>
      </rPr>
      <t xml:space="preserve">4      </t>
    </r>
    <r>
      <rPr>
        <sz val="9"/>
        <rFont val="Lucida Casual"/>
        <family val="0"/>
        <charset val="1"/>
      </rPr>
      <t xml:space="preserve">Juicio o Castigado</t>
    </r>
  </si>
  <si>
    <r>
      <rPr>
        <b val="true"/>
        <sz val="8"/>
        <rFont val="Lucida Casual"/>
        <family val="0"/>
        <charset val="1"/>
      </rPr>
      <t xml:space="preserve">4</t>
    </r>
    <r>
      <rPr>
        <sz val="8"/>
        <rFont val="Lucida Casual"/>
        <family val="4"/>
        <charset val="1"/>
      </rPr>
      <t xml:space="preserve">    Menos de 1 año</t>
    </r>
  </si>
  <si>
    <t xml:space="preserve">      el 29%,  necesita otra fuente de ingresos</t>
  </si>
  <si>
    <r>
      <rPr>
        <b val="true"/>
        <sz val="8"/>
        <rFont val="Lucida Casual"/>
        <family val="0"/>
        <charset val="1"/>
      </rPr>
      <t xml:space="preserve">3    </t>
    </r>
    <r>
      <rPr>
        <sz val="8"/>
        <rFont val="Lucida Casual"/>
        <family val="0"/>
        <charset val="1"/>
      </rPr>
      <t xml:space="preserve">Largo Plazo</t>
    </r>
  </si>
  <si>
    <r>
      <rPr>
        <b val="true"/>
        <sz val="8"/>
        <rFont val="Lucida Casual"/>
        <family val="0"/>
        <charset val="1"/>
      </rPr>
      <t xml:space="preserve">3    </t>
    </r>
    <r>
      <rPr>
        <sz val="8"/>
        <rFont val="Lucida Casual"/>
        <family val="4"/>
        <charset val="1"/>
      </rPr>
      <t xml:space="preserve">Insuficiente capacidad, no cubre la cuota.</t>
    </r>
  </si>
  <si>
    <t xml:space="preserve">1.2  Arraigo del negocio</t>
  </si>
  <si>
    <t xml:space="preserve">2.2  Organización del negocio</t>
  </si>
  <si>
    <r>
      <rPr>
        <b val="true"/>
        <sz val="8"/>
        <rFont val="Arial"/>
        <family val="2"/>
        <charset val="1"/>
      </rPr>
      <t xml:space="preserve">Estado</t>
    </r>
    <r>
      <rPr>
        <sz val="8"/>
        <rFont val="Arial"/>
        <family val="2"/>
        <charset val="1"/>
      </rPr>
      <t xml:space="preserve">:</t>
    </r>
  </si>
  <si>
    <r>
      <rPr>
        <b val="true"/>
        <sz val="8"/>
        <rFont val="Lucida Casual"/>
        <family val="0"/>
        <charset val="1"/>
      </rPr>
      <t xml:space="preserve">1    </t>
    </r>
    <r>
      <rPr>
        <sz val="8"/>
        <rFont val="Lucida Casual"/>
        <family val="4"/>
        <charset val="1"/>
      </rPr>
      <t xml:space="preserve">Sector en crecimiento.</t>
    </r>
  </si>
  <si>
    <r>
      <rPr>
        <b val="true"/>
        <sz val="9"/>
        <rFont val="Lucida Casual"/>
        <family val="0"/>
        <charset val="1"/>
      </rPr>
      <t xml:space="preserve">1</t>
    </r>
    <r>
      <rPr>
        <sz val="8"/>
        <rFont val="Lucida Casual"/>
        <family val="4"/>
        <charset val="1"/>
      </rPr>
      <t xml:space="preserve">       Más de 3 años</t>
    </r>
  </si>
  <si>
    <r>
      <rPr>
        <b val="true"/>
        <sz val="8"/>
        <rFont val="Lucida Casual"/>
        <family val="0"/>
        <charset val="1"/>
      </rPr>
      <t xml:space="preserve">1    </t>
    </r>
    <r>
      <rPr>
        <sz val="8"/>
        <rFont val="Lucida Casual"/>
        <family val="4"/>
        <charset val="1"/>
      </rPr>
      <t xml:space="preserve">Buena organización, dispone de registros y</t>
    </r>
  </si>
  <si>
    <t xml:space="preserve">3.2 Rentabilidad sobre Capital</t>
  </si>
  <si>
    <r>
      <rPr>
        <b val="true"/>
        <sz val="8"/>
        <rFont val="Lucida Casual"/>
        <family val="0"/>
        <charset val="1"/>
      </rPr>
      <t xml:space="preserve">1    </t>
    </r>
    <r>
      <rPr>
        <sz val="8"/>
        <rFont val="Lucida Casual"/>
        <family val="0"/>
        <charset val="1"/>
      </rPr>
      <t xml:space="preserve">Optimo</t>
    </r>
  </si>
  <si>
    <r>
      <rPr>
        <b val="true"/>
        <sz val="8"/>
        <rFont val="Lucida Casual"/>
        <family val="0"/>
        <charset val="1"/>
      </rPr>
      <t xml:space="preserve">2    </t>
    </r>
    <r>
      <rPr>
        <sz val="8"/>
        <rFont val="Lucida Casual"/>
        <family val="4"/>
        <charset val="1"/>
      </rPr>
      <t xml:space="preserve">Sector en estabilidad.</t>
    </r>
  </si>
  <si>
    <r>
      <rPr>
        <b val="true"/>
        <sz val="9"/>
        <rFont val="Lucida Casual"/>
        <family val="0"/>
        <charset val="1"/>
      </rPr>
      <t xml:space="preserve">2</t>
    </r>
    <r>
      <rPr>
        <sz val="8"/>
        <rFont val="Lucida Casual"/>
        <family val="4"/>
        <charset val="1"/>
      </rPr>
      <t xml:space="preserve">       Entre 2 y 3 años</t>
    </r>
  </si>
  <si>
    <t xml:space="preserve">      sin problemas en la venta</t>
  </si>
  <si>
    <r>
      <rPr>
        <b val="true"/>
        <sz val="8"/>
        <rFont val="Lucida Casual"/>
        <family val="0"/>
        <charset val="1"/>
      </rPr>
      <t xml:space="preserve">1    </t>
    </r>
    <r>
      <rPr>
        <sz val="8"/>
        <rFont val="Lucida Casual"/>
        <family val="0"/>
        <charset val="1"/>
      </rPr>
      <t xml:space="preserve">Mayor en 3% a la inflación</t>
    </r>
  </si>
  <si>
    <r>
      <rPr>
        <b val="true"/>
        <sz val="8"/>
        <rFont val="Lucida Casual"/>
        <family val="0"/>
        <charset val="1"/>
      </rPr>
      <t xml:space="preserve">2    </t>
    </r>
    <r>
      <rPr>
        <sz val="8"/>
        <rFont val="Lucida Casual"/>
        <family val="0"/>
        <charset val="1"/>
      </rPr>
      <t xml:space="preserve">Bueno</t>
    </r>
  </si>
  <si>
    <r>
      <rPr>
        <b val="true"/>
        <sz val="8"/>
        <rFont val="Lucida Casual"/>
        <family val="0"/>
        <charset val="1"/>
      </rPr>
      <t xml:space="preserve">3    </t>
    </r>
    <r>
      <rPr>
        <sz val="8"/>
        <rFont val="Lucida Casual"/>
        <family val="4"/>
        <charset val="1"/>
      </rPr>
      <t xml:space="preserve">Sector estancado, sin proyecciones</t>
    </r>
  </si>
  <si>
    <r>
      <rPr>
        <b val="true"/>
        <sz val="9"/>
        <rFont val="Lucida Casual"/>
        <family val="0"/>
        <charset val="1"/>
      </rPr>
      <t xml:space="preserve">3</t>
    </r>
    <r>
      <rPr>
        <sz val="8"/>
        <rFont val="Lucida Casual"/>
        <family val="4"/>
        <charset val="1"/>
      </rPr>
      <t xml:space="preserve">       Entre 1 y 2 años</t>
    </r>
  </si>
  <si>
    <r>
      <rPr>
        <b val="true"/>
        <sz val="8"/>
        <rFont val="Lucida Casual"/>
        <family val="0"/>
        <charset val="1"/>
      </rPr>
      <t xml:space="preserve">2    </t>
    </r>
    <r>
      <rPr>
        <sz val="8"/>
        <rFont val="Lucida Casual"/>
        <family val="4"/>
        <charset val="1"/>
      </rPr>
      <t xml:space="preserve">Evidencia buen nivel de ventas, pero con</t>
    </r>
  </si>
  <si>
    <r>
      <rPr>
        <b val="true"/>
        <sz val="8"/>
        <rFont val="Lucida Casual"/>
        <family val="0"/>
        <charset val="1"/>
      </rPr>
      <t xml:space="preserve">2    </t>
    </r>
    <r>
      <rPr>
        <sz val="8"/>
        <rFont val="Lucida Casual"/>
        <family val="0"/>
        <charset val="1"/>
      </rPr>
      <t xml:space="preserve">Igual a la inflación</t>
    </r>
  </si>
  <si>
    <r>
      <rPr>
        <b val="true"/>
        <sz val="8"/>
        <rFont val="Lucida Casual"/>
        <family val="0"/>
        <charset val="1"/>
      </rPr>
      <t xml:space="preserve">3    </t>
    </r>
    <r>
      <rPr>
        <sz val="8"/>
        <rFont val="Lucida Casual"/>
        <family val="0"/>
        <charset val="1"/>
      </rPr>
      <t xml:space="preserve">Regular</t>
    </r>
  </si>
  <si>
    <r>
      <rPr>
        <b val="true"/>
        <sz val="8"/>
        <rFont val="Lucida Casual"/>
        <family val="0"/>
        <charset val="1"/>
      </rPr>
      <t xml:space="preserve">4    </t>
    </r>
    <r>
      <rPr>
        <sz val="8"/>
        <rFont val="Lucida Casual"/>
        <family val="4"/>
        <charset val="1"/>
      </rPr>
      <t xml:space="preserve">Sector en recesión, decreciendo</t>
    </r>
  </si>
  <si>
    <r>
      <rPr>
        <b val="true"/>
        <sz val="9"/>
        <rFont val="Lucida Casual"/>
        <family val="0"/>
        <charset val="1"/>
      </rPr>
      <t xml:space="preserve">4</t>
    </r>
    <r>
      <rPr>
        <sz val="8"/>
        <rFont val="Lucida Casual"/>
        <family val="4"/>
        <charset val="1"/>
      </rPr>
      <t xml:space="preserve">       Menos de 1 año</t>
    </r>
  </si>
  <si>
    <t xml:space="preserve">      deficiencias en la organización</t>
  </si>
  <si>
    <r>
      <rPr>
        <b val="true"/>
        <sz val="8"/>
        <rFont val="Lucida Casual"/>
        <family val="0"/>
        <charset val="1"/>
      </rPr>
      <t xml:space="preserve">3    </t>
    </r>
    <r>
      <rPr>
        <sz val="8"/>
        <rFont val="Lucida Casual"/>
        <family val="0"/>
        <charset val="1"/>
      </rPr>
      <t xml:space="preserve">Menor que la inflación</t>
    </r>
  </si>
  <si>
    <r>
      <rPr>
        <b val="true"/>
        <sz val="8"/>
        <rFont val="Lucida Casual"/>
        <family val="0"/>
        <charset val="1"/>
      </rPr>
      <t xml:space="preserve">3    </t>
    </r>
    <r>
      <rPr>
        <sz val="8"/>
        <rFont val="Lucida Casual"/>
        <family val="4"/>
        <charset val="1"/>
      </rPr>
      <t xml:space="preserve">Buena o aceptable organización, pero no</t>
    </r>
  </si>
  <si>
    <r>
      <rPr>
        <b val="true"/>
        <sz val="8"/>
        <rFont val="Lucida Casual"/>
        <family val="0"/>
        <charset val="1"/>
      </rPr>
      <t xml:space="preserve">4    </t>
    </r>
    <r>
      <rPr>
        <sz val="8"/>
        <rFont val="Lucida Casual"/>
        <family val="0"/>
        <charset val="1"/>
      </rPr>
      <t xml:space="preserve">Pérdida</t>
    </r>
  </si>
  <si>
    <t xml:space="preserve">Movilización:</t>
  </si>
  <si>
    <t xml:space="preserve">1.3  Calidad de referencias</t>
  </si>
  <si>
    <t xml:space="preserve">         posee registros y/o con medianos problemas de venta</t>
  </si>
  <si>
    <r>
      <rPr>
        <b val="true"/>
        <sz val="8"/>
        <rFont val="Lucida Casual"/>
        <family val="0"/>
        <charset val="1"/>
      </rPr>
      <t xml:space="preserve">1    </t>
    </r>
    <r>
      <rPr>
        <sz val="8"/>
        <rFont val="Lucida Casual"/>
        <family val="0"/>
        <charset val="1"/>
      </rPr>
      <t xml:space="preserve">Buena</t>
    </r>
  </si>
  <si>
    <t xml:space="preserve">Comerciales:</t>
  </si>
  <si>
    <r>
      <rPr>
        <b val="true"/>
        <sz val="8"/>
        <rFont val="Lucida Casual"/>
        <family val="0"/>
        <charset val="1"/>
      </rPr>
      <t xml:space="preserve">4    </t>
    </r>
    <r>
      <rPr>
        <sz val="8"/>
        <rFont val="Lucida Casual"/>
        <family val="4"/>
        <charset val="1"/>
      </rPr>
      <t xml:space="preserve">Presenta mala organización, no dispone  </t>
    </r>
  </si>
  <si>
    <t xml:space="preserve">3.3 Sostenibilidad</t>
  </si>
  <si>
    <r>
      <rPr>
        <b val="true"/>
        <sz val="8"/>
        <rFont val="Lucida Casual"/>
        <family val="0"/>
        <charset val="1"/>
      </rPr>
      <t xml:space="preserve">2    </t>
    </r>
    <r>
      <rPr>
        <sz val="8"/>
        <rFont val="Lucida Casual"/>
        <family val="0"/>
        <charset val="1"/>
      </rPr>
      <t xml:space="preserve">Regular</t>
    </r>
  </si>
  <si>
    <r>
      <rPr>
        <b val="true"/>
        <sz val="8"/>
        <rFont val="Lucida Casual"/>
        <family val="0"/>
        <charset val="1"/>
      </rPr>
      <t xml:space="preserve">1    </t>
    </r>
    <r>
      <rPr>
        <sz val="8"/>
        <rFont val="Lucida Casual"/>
        <family val="4"/>
        <charset val="1"/>
      </rPr>
      <t xml:space="preserve">Alta aceptación por calidad/precio</t>
    </r>
  </si>
  <si>
    <r>
      <rPr>
        <b val="true"/>
        <sz val="9"/>
        <rFont val="Lucida Casual"/>
        <family val="0"/>
        <charset val="1"/>
      </rPr>
      <t xml:space="preserve">1</t>
    </r>
    <r>
      <rPr>
        <sz val="8"/>
        <rFont val="Lucida Casual"/>
        <family val="4"/>
        <charset val="1"/>
      </rPr>
      <t xml:space="preserve">       Buena</t>
    </r>
  </si>
  <si>
    <t xml:space="preserve">         de registros y/o con graves problemas en la venta</t>
  </si>
  <si>
    <r>
      <rPr>
        <b val="true"/>
        <sz val="8"/>
        <rFont val="Lucida Casual"/>
        <family val="0"/>
        <charset val="1"/>
      </rPr>
      <t xml:space="preserve">1    </t>
    </r>
    <r>
      <rPr>
        <sz val="8"/>
        <rFont val="Lucida Casual"/>
        <family val="4"/>
        <charset val="1"/>
      </rPr>
      <t xml:space="preserve">Relación Ingresos/gastos sobre 1,25</t>
    </r>
  </si>
  <si>
    <r>
      <rPr>
        <b val="true"/>
        <sz val="8"/>
        <rFont val="Lucida Casual"/>
        <family val="0"/>
        <charset val="1"/>
      </rPr>
      <t xml:space="preserve">3    </t>
    </r>
    <r>
      <rPr>
        <sz val="8"/>
        <rFont val="Lucida Casual"/>
        <family val="0"/>
        <charset val="1"/>
      </rPr>
      <t xml:space="preserve">Deficiente</t>
    </r>
  </si>
  <si>
    <r>
      <rPr>
        <b val="true"/>
        <sz val="8"/>
        <rFont val="Lucida Casual"/>
        <family val="0"/>
        <charset val="1"/>
      </rPr>
      <t xml:space="preserve">2    </t>
    </r>
    <r>
      <rPr>
        <sz val="8"/>
        <rFont val="Lucida Casual"/>
        <family val="4"/>
        <charset val="1"/>
      </rPr>
      <t xml:space="preserve">Mediana aceptación</t>
    </r>
  </si>
  <si>
    <r>
      <rPr>
        <b val="true"/>
        <sz val="9"/>
        <rFont val="Lucida Casual"/>
        <family val="0"/>
        <charset val="1"/>
      </rPr>
      <t xml:space="preserve">2</t>
    </r>
    <r>
      <rPr>
        <sz val="8"/>
        <rFont val="Lucida Casual"/>
        <family val="4"/>
        <charset val="1"/>
      </rPr>
      <t xml:space="preserve">       Mala</t>
    </r>
  </si>
  <si>
    <r>
      <rPr>
        <b val="true"/>
        <sz val="8"/>
        <rFont val="Lucida Casual"/>
        <family val="0"/>
        <charset val="1"/>
      </rPr>
      <t xml:space="preserve">2</t>
    </r>
    <r>
      <rPr>
        <sz val="8"/>
        <rFont val="Lucida Casual"/>
        <family val="0"/>
        <charset val="1"/>
      </rPr>
      <t xml:space="preserve">    </t>
    </r>
    <r>
      <rPr>
        <sz val="8"/>
        <rFont val="Lucida Casual"/>
        <family val="4"/>
        <charset val="1"/>
      </rPr>
      <t xml:space="preserve">Relación Ingresos/gastos entre 1,10 y 1,25</t>
    </r>
  </si>
  <si>
    <r>
      <rPr>
        <b val="true"/>
        <sz val="8"/>
        <rFont val="Lucida Casual"/>
        <family val="0"/>
        <charset val="1"/>
      </rPr>
      <t xml:space="preserve">3    </t>
    </r>
    <r>
      <rPr>
        <sz val="8"/>
        <rFont val="Lucida Casual"/>
        <family val="4"/>
        <charset val="1"/>
      </rPr>
      <t xml:space="preserve">Baja, dificultosa aceptación</t>
    </r>
  </si>
  <si>
    <r>
      <rPr>
        <b val="true"/>
        <sz val="9"/>
        <rFont val="Lucida Casual"/>
        <family val="0"/>
        <charset val="1"/>
      </rPr>
      <t xml:space="preserve">3</t>
    </r>
    <r>
      <rPr>
        <sz val="8"/>
        <rFont val="Lucida Casual"/>
        <family val="4"/>
        <charset val="1"/>
      </rPr>
      <t xml:space="preserve">       No tiene referencias</t>
    </r>
  </si>
  <si>
    <t xml:space="preserve">2.3  Dependencia de clientes</t>
  </si>
  <si>
    <r>
      <rPr>
        <b val="true"/>
        <sz val="8"/>
        <rFont val="Lucida Casual"/>
        <family val="0"/>
        <charset val="1"/>
      </rPr>
      <t xml:space="preserve">3    </t>
    </r>
    <r>
      <rPr>
        <sz val="8"/>
        <rFont val="Lucida Casual"/>
        <family val="4"/>
        <charset val="1"/>
      </rPr>
      <t xml:space="preserve">Relación Ingresos/gastos menor a  1,10</t>
    </r>
  </si>
  <si>
    <r>
      <rPr>
        <b val="true"/>
        <sz val="8"/>
        <rFont val="Arial"/>
        <family val="2"/>
        <charset val="1"/>
      </rPr>
      <t xml:space="preserve">Calidad edif. adyacentes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</si>
  <si>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importancia/consumo masivo</t>
    </r>
  </si>
  <si>
    <t xml:space="preserve">Personales:</t>
  </si>
  <si>
    <r>
      <rPr>
        <b val="true"/>
        <sz val="8"/>
        <rFont val="Lucida Casual"/>
        <family val="0"/>
        <charset val="1"/>
      </rPr>
      <t xml:space="preserve">2    </t>
    </r>
    <r>
      <rPr>
        <sz val="8"/>
        <rFont val="Lucida Casual"/>
        <family val="4"/>
        <charset val="1"/>
      </rPr>
      <t xml:space="preserve">Entre 4 y 8 compradores</t>
    </r>
  </si>
  <si>
    <t xml:space="preserve">3.4  Nivel de endeudamiento</t>
  </si>
  <si>
    <r>
      <rPr>
        <b val="true"/>
        <sz val="8"/>
        <rFont val="Lucida Casual"/>
        <family val="0"/>
        <charset val="1"/>
      </rPr>
      <t xml:space="preserve">3    </t>
    </r>
    <r>
      <rPr>
        <sz val="8"/>
        <rFont val="Lucida Casual"/>
        <family val="4"/>
        <charset val="1"/>
      </rPr>
      <t xml:space="preserve">Intermediario (entre 1 y 3 compradores)</t>
    </r>
  </si>
  <si>
    <t xml:space="preserve">Relación Pasivos/Activos</t>
  </si>
  <si>
    <r>
      <rPr>
        <b val="true"/>
        <sz val="8"/>
        <rFont val="Lucida Casual"/>
        <family val="0"/>
        <charset val="1"/>
      </rPr>
      <t xml:space="preserve">3    </t>
    </r>
    <r>
      <rPr>
        <sz val="8"/>
        <rFont val="Lucida Casual"/>
        <family val="0"/>
        <charset val="1"/>
      </rPr>
      <t xml:space="preserve">Baja</t>
    </r>
  </si>
  <si>
    <r>
      <rPr>
        <b val="true"/>
        <sz val="8"/>
        <rFont val="Lucida Casual"/>
        <family val="0"/>
        <charset val="1"/>
      </rPr>
      <t xml:space="preserve">1    </t>
    </r>
    <r>
      <rPr>
        <sz val="8"/>
        <rFont val="Lucida Casual"/>
        <family val="4"/>
        <charset val="1"/>
      </rPr>
      <t xml:space="preserve">Menor al 30%</t>
    </r>
  </si>
  <si>
    <t xml:space="preserve">2.4  Dependencia de proveedores</t>
  </si>
  <si>
    <r>
      <rPr>
        <b val="true"/>
        <sz val="8"/>
        <rFont val="Lucida Casual"/>
        <family val="0"/>
        <charset val="1"/>
      </rPr>
      <t xml:space="preserve">2    </t>
    </r>
    <r>
      <rPr>
        <sz val="8"/>
        <rFont val="Lucida Casual"/>
        <family val="4"/>
        <charset val="1"/>
      </rPr>
      <t xml:space="preserve">Entre 30% al 40%</t>
    </r>
  </si>
  <si>
    <r>
      <rPr>
        <b val="true"/>
        <sz val="8"/>
        <rFont val="Arial"/>
        <family val="2"/>
        <charset val="1"/>
      </rPr>
      <t xml:space="preserve">Servicios Básicos</t>
    </r>
    <r>
      <rPr>
        <sz val="8"/>
        <rFont val="Arial"/>
        <family val="2"/>
        <charset val="1"/>
      </rPr>
      <t xml:space="preserve">:</t>
    </r>
  </si>
  <si>
    <r>
      <rPr>
        <b val="true"/>
        <sz val="8"/>
        <rFont val="Lucida Casual"/>
        <family val="0"/>
        <charset val="1"/>
      </rPr>
      <t xml:space="preserve">1    </t>
    </r>
    <r>
      <rPr>
        <sz val="8"/>
        <rFont val="Lucida Casual"/>
        <family val="4"/>
        <charset val="1"/>
      </rPr>
      <t xml:space="preserve">Sin importancia/facilidad para proveerse</t>
    </r>
  </si>
  <si>
    <r>
      <rPr>
        <b val="true"/>
        <sz val="8"/>
        <rFont val="Lucida Casual"/>
        <family val="0"/>
        <charset val="1"/>
      </rPr>
      <t xml:space="preserve">3    </t>
    </r>
    <r>
      <rPr>
        <sz val="8"/>
        <rFont val="Lucida Casual"/>
        <family val="4"/>
        <charset val="1"/>
      </rPr>
      <t xml:space="preserve">Entre 40% y 50%</t>
    </r>
  </si>
  <si>
    <r>
      <rPr>
        <b val="true"/>
        <sz val="8"/>
        <rFont val="Lucida Casual"/>
        <family val="0"/>
        <charset val="1"/>
      </rPr>
      <t xml:space="preserve">1    </t>
    </r>
    <r>
      <rPr>
        <sz val="8"/>
        <rFont val="Lucida Casual"/>
        <family val="0"/>
        <charset val="1"/>
      </rPr>
      <t xml:space="preserve">Todos</t>
    </r>
  </si>
  <si>
    <t xml:space="preserve">1.4  Calificación Interna</t>
  </si>
  <si>
    <r>
      <rPr>
        <b val="true"/>
        <sz val="8"/>
        <rFont val="Lucida Casual"/>
        <family val="0"/>
        <charset val="1"/>
      </rPr>
      <t xml:space="preserve">2    </t>
    </r>
    <r>
      <rPr>
        <sz val="8"/>
        <rFont val="Lucida Casual"/>
        <family val="4"/>
        <charset val="1"/>
      </rPr>
      <t xml:space="preserve">Más de 3 proveedores</t>
    </r>
  </si>
  <si>
    <r>
      <rPr>
        <b val="true"/>
        <sz val="8"/>
        <rFont val="Lucida Casual"/>
        <family val="0"/>
        <charset val="1"/>
      </rPr>
      <t xml:space="preserve">4    </t>
    </r>
    <r>
      <rPr>
        <sz val="8"/>
        <rFont val="Lucida Casual"/>
        <family val="4"/>
        <charset val="1"/>
      </rPr>
      <t xml:space="preserve">Más del 50%</t>
    </r>
  </si>
  <si>
    <r>
      <rPr>
        <b val="true"/>
        <sz val="8"/>
        <rFont val="Lucida Casual"/>
        <family val="0"/>
        <charset val="1"/>
      </rPr>
      <t xml:space="preserve">2    </t>
    </r>
    <r>
      <rPr>
        <sz val="8"/>
        <rFont val="Lucida Casual"/>
        <family val="0"/>
        <charset val="1"/>
      </rPr>
      <t xml:space="preserve">Algunos</t>
    </r>
  </si>
  <si>
    <t xml:space="preserve">Referencias bancarias </t>
  </si>
  <si>
    <r>
      <rPr>
        <b val="true"/>
        <sz val="8"/>
        <rFont val="Lucida Casual"/>
        <family val="0"/>
        <charset val="1"/>
      </rPr>
      <t xml:space="preserve">3    </t>
    </r>
    <r>
      <rPr>
        <sz val="8"/>
        <rFont val="Lucida Casual"/>
        <family val="4"/>
        <charset val="1"/>
      </rPr>
      <t xml:space="preserve">Entre 2 a 3 proveedores</t>
    </r>
  </si>
  <si>
    <r>
      <rPr>
        <b val="true"/>
        <sz val="8"/>
        <rFont val="Lucida Casual"/>
        <family val="0"/>
        <charset val="1"/>
      </rPr>
      <t xml:space="preserve">3    </t>
    </r>
    <r>
      <rPr>
        <sz val="8"/>
        <rFont val="Lucida Casual"/>
        <family val="0"/>
        <charset val="1"/>
      </rPr>
      <t xml:space="preserve">Ninguno</t>
    </r>
  </si>
  <si>
    <r>
      <rPr>
        <b val="true"/>
        <sz val="9"/>
        <rFont val="Lucida Casual"/>
        <family val="0"/>
        <charset val="1"/>
      </rPr>
      <t xml:space="preserve">1</t>
    </r>
    <r>
      <rPr>
        <sz val="9"/>
        <rFont val="Lucida Casual"/>
        <family val="0"/>
        <charset val="1"/>
      </rPr>
      <t xml:space="preserve">     Cliente A</t>
    </r>
  </si>
  <si>
    <r>
      <rPr>
        <b val="true"/>
        <sz val="8"/>
        <rFont val="Lucida Casual"/>
        <family val="0"/>
        <charset val="1"/>
      </rPr>
      <t xml:space="preserve">4</t>
    </r>
    <r>
      <rPr>
        <sz val="8"/>
        <rFont val="Lucida Casual"/>
        <family val="0"/>
        <charset val="1"/>
      </rPr>
      <t xml:space="preserve">    </t>
    </r>
    <r>
      <rPr>
        <sz val="8"/>
        <rFont val="Lucida Casual"/>
        <family val="4"/>
        <charset val="1"/>
      </rPr>
      <t xml:space="preserve">Un  proveedor, alta dependencia</t>
    </r>
  </si>
  <si>
    <t xml:space="preserve">3.5 Medios de producción</t>
  </si>
  <si>
    <r>
      <rPr>
        <b val="true"/>
        <sz val="9"/>
        <rFont val="Lucida Casual"/>
        <family val="0"/>
        <charset val="1"/>
      </rPr>
      <t xml:space="preserve">2</t>
    </r>
    <r>
      <rPr>
        <sz val="8"/>
        <rFont val="Lucida Casual"/>
        <family val="4"/>
        <charset val="1"/>
      </rPr>
      <t xml:space="preserve">     Cliente B</t>
    </r>
  </si>
  <si>
    <r>
      <rPr>
        <b val="true"/>
        <sz val="8"/>
        <rFont val="Lucida Casual"/>
        <family val="0"/>
        <charset val="1"/>
      </rPr>
      <t xml:space="preserve">1    </t>
    </r>
    <r>
      <rPr>
        <sz val="8"/>
        <rFont val="Lucida Casual"/>
        <family val="4"/>
        <charset val="1"/>
      </rPr>
      <t xml:space="preserve">Propietario del negocio o terreno</t>
    </r>
  </si>
  <si>
    <t xml:space="preserve">Avalúo:</t>
  </si>
  <si>
    <r>
      <rPr>
        <b val="true"/>
        <sz val="9"/>
        <rFont val="Lucida Casual"/>
        <family val="0"/>
        <charset val="1"/>
      </rPr>
      <t xml:space="preserve">3</t>
    </r>
    <r>
      <rPr>
        <sz val="8"/>
        <rFont val="Lucida Casual"/>
        <family val="4"/>
        <charset val="1"/>
      </rPr>
      <t xml:space="preserve">     Cliente C</t>
    </r>
  </si>
  <si>
    <t xml:space="preserve">2.5  Dependencia del personal</t>
  </si>
  <si>
    <r>
      <rPr>
        <b val="true"/>
        <sz val="8"/>
        <rFont val="Lucida Casual"/>
        <family val="0"/>
        <charset val="1"/>
      </rPr>
      <t xml:space="preserve">2    </t>
    </r>
    <r>
      <rPr>
        <sz val="8"/>
        <rFont val="Lucida Casual"/>
        <family val="4"/>
        <charset val="1"/>
      </rPr>
      <t xml:space="preserve">En sociedad (al partir)</t>
    </r>
  </si>
  <si>
    <r>
      <rPr>
        <b val="true"/>
        <sz val="8"/>
        <rFont val="Lucida Casual"/>
        <family val="0"/>
        <charset val="1"/>
      </rPr>
      <t xml:space="preserve">1    </t>
    </r>
    <r>
      <rPr>
        <sz val="8"/>
        <rFont val="Lucida Casual"/>
        <family val="0"/>
        <charset val="1"/>
      </rPr>
      <t xml:space="preserve">Más del 200%</t>
    </r>
  </si>
  <si>
    <r>
      <rPr>
        <b val="true"/>
        <sz val="8"/>
        <rFont val="Lucida Casual"/>
        <family val="0"/>
        <charset val="1"/>
      </rPr>
      <t xml:space="preserve">4</t>
    </r>
    <r>
      <rPr>
        <sz val="8"/>
        <rFont val="Lucida Casual"/>
        <family val="4"/>
        <charset val="1"/>
      </rPr>
      <t xml:space="preserve">     Clente  D o E</t>
    </r>
  </si>
  <si>
    <r>
      <rPr>
        <b val="true"/>
        <sz val="8"/>
        <rFont val="Lucida Casual"/>
        <family val="0"/>
        <charset val="1"/>
      </rPr>
      <t xml:space="preserve">1    </t>
    </r>
    <r>
      <rPr>
        <sz val="8"/>
        <rFont val="Lucida Casual"/>
        <family val="4"/>
        <charset val="1"/>
      </rPr>
      <t xml:space="preserve">Familiar</t>
    </r>
  </si>
  <si>
    <r>
      <rPr>
        <b val="true"/>
        <sz val="8"/>
        <rFont val="Lucida Casual"/>
        <family val="0"/>
        <charset val="1"/>
      </rPr>
      <t xml:space="preserve">3    </t>
    </r>
    <r>
      <rPr>
        <sz val="8"/>
        <rFont val="Lucida Casual"/>
        <family val="4"/>
        <charset val="1"/>
      </rPr>
      <t xml:space="preserve">Negocio o terreno arrendado</t>
    </r>
  </si>
  <si>
    <r>
      <rPr>
        <b val="true"/>
        <sz val="8"/>
        <rFont val="Lucida Casual"/>
        <family val="0"/>
        <charset val="1"/>
      </rPr>
      <t xml:space="preserve">2    </t>
    </r>
    <r>
      <rPr>
        <sz val="8"/>
        <rFont val="Lucida Casual"/>
        <family val="0"/>
        <charset val="1"/>
      </rPr>
      <t xml:space="preserve">El 200%</t>
    </r>
  </si>
  <si>
    <r>
      <rPr>
        <b val="true"/>
        <sz val="8"/>
        <rFont val="Lucida Casual"/>
        <family val="0"/>
        <charset val="1"/>
      </rPr>
      <t xml:space="preserve">5</t>
    </r>
    <r>
      <rPr>
        <sz val="8"/>
        <rFont val="Lucida Casual"/>
        <family val="4"/>
        <charset val="1"/>
      </rPr>
      <t xml:space="preserve">     Cuentas cerradas</t>
    </r>
  </si>
  <si>
    <r>
      <rPr>
        <b val="true"/>
        <sz val="8"/>
        <rFont val="Lucida Casual"/>
        <family val="0"/>
        <charset val="1"/>
      </rPr>
      <t xml:space="preserve">2    </t>
    </r>
    <r>
      <rPr>
        <sz val="8"/>
        <rFont val="Lucida Casual"/>
        <family val="4"/>
        <charset val="1"/>
      </rPr>
      <t xml:space="preserve">Familiar y trabajadores</t>
    </r>
  </si>
  <si>
    <r>
      <rPr>
        <b val="true"/>
        <sz val="8"/>
        <rFont val="Lucida Casual"/>
        <family val="0"/>
        <charset val="1"/>
      </rPr>
      <t xml:space="preserve">3    </t>
    </r>
    <r>
      <rPr>
        <sz val="8"/>
        <rFont val="Lucida Casual"/>
        <family val="0"/>
        <charset val="1"/>
      </rPr>
      <t xml:space="preserve">Menos del 200%</t>
    </r>
  </si>
  <si>
    <r>
      <rPr>
        <b val="true"/>
        <sz val="8"/>
        <rFont val="Lucida Casual"/>
        <family val="0"/>
        <charset val="1"/>
      </rPr>
      <t xml:space="preserve">6</t>
    </r>
    <r>
      <rPr>
        <sz val="8"/>
        <rFont val="Lucida Casual"/>
        <family val="4"/>
        <charset val="1"/>
      </rPr>
      <t xml:space="preserve">     No tienereferencias</t>
    </r>
  </si>
  <si>
    <r>
      <rPr>
        <b val="true"/>
        <sz val="8"/>
        <rFont val="Lucida Casual"/>
        <family val="0"/>
        <charset val="1"/>
      </rPr>
      <t xml:space="preserve">3    </t>
    </r>
    <r>
      <rPr>
        <sz val="8"/>
        <rFont val="Lucida Casual"/>
        <family val="4"/>
        <charset val="1"/>
      </rPr>
      <t xml:space="preserve">Sólo trabajadores</t>
    </r>
  </si>
  <si>
    <t xml:space="preserve">3.6 Razon Corriente</t>
  </si>
  <si>
    <r>
      <rPr>
        <b val="true"/>
        <sz val="8"/>
        <rFont val="Lucida Casual"/>
        <family val="0"/>
        <charset val="1"/>
      </rPr>
      <t xml:space="preserve">1    </t>
    </r>
    <r>
      <rPr>
        <sz val="8"/>
        <rFont val="Lucida Casual"/>
        <family val="0"/>
        <charset val="1"/>
      </rPr>
      <t xml:space="preserve">Màs del 200%</t>
    </r>
  </si>
  <si>
    <t xml:space="preserve">1.5 Arraigo Residencial</t>
  </si>
  <si>
    <t xml:space="preserve">2.6  Dependencia de la actividad del socio (RURAL)</t>
  </si>
  <si>
    <r>
      <rPr>
        <b val="true"/>
        <sz val="8"/>
        <rFont val="Lucida Casual"/>
        <family val="0"/>
        <charset val="1"/>
      </rPr>
      <t xml:space="preserve">2    </t>
    </r>
    <r>
      <rPr>
        <sz val="8"/>
        <rFont val="Lucida Casual"/>
        <family val="0"/>
        <charset val="1"/>
      </rPr>
      <t xml:space="preserve">Del 200% al  175%</t>
    </r>
  </si>
  <si>
    <t xml:space="preserve">4.2 Garantia Personal</t>
  </si>
  <si>
    <r>
      <rPr>
        <b val="true"/>
        <sz val="8"/>
        <rFont val="Lucida Casual"/>
        <family val="0"/>
        <charset val="1"/>
      </rPr>
      <t xml:space="preserve">1    </t>
    </r>
    <r>
      <rPr>
        <sz val="8"/>
        <rFont val="Lucida Casual"/>
        <family val="4"/>
        <charset val="1"/>
      </rPr>
      <t xml:space="preserve">Propio</t>
    </r>
  </si>
  <si>
    <r>
      <rPr>
        <b val="true"/>
        <sz val="8"/>
        <rFont val="Lucida Casual"/>
        <family val="0"/>
        <charset val="1"/>
      </rPr>
      <t xml:space="preserve">1    </t>
    </r>
    <r>
      <rPr>
        <sz val="8"/>
        <rFont val="Lucida Casual"/>
        <family val="0"/>
        <charset val="1"/>
      </rPr>
      <t xml:space="preserve">Dos</t>
    </r>
    <r>
      <rPr>
        <sz val="8"/>
        <rFont val="Lucida Casual"/>
        <family val="4"/>
        <charset val="1"/>
      </rPr>
      <t xml:space="preserve"> actividades o más</t>
    </r>
  </si>
  <si>
    <r>
      <rPr>
        <b val="true"/>
        <sz val="8"/>
        <rFont val="Lucida Casual"/>
        <family val="0"/>
        <charset val="1"/>
      </rPr>
      <t xml:space="preserve">3    </t>
    </r>
    <r>
      <rPr>
        <sz val="8"/>
        <rFont val="Lucida Casual"/>
        <family val="0"/>
        <charset val="1"/>
      </rPr>
      <t xml:space="preserve">Del 175% al 150%</t>
    </r>
  </si>
  <si>
    <t xml:space="preserve">Historial Credicitio:</t>
  </si>
  <si>
    <r>
      <rPr>
        <b val="true"/>
        <sz val="8"/>
        <rFont val="Lucida Casual"/>
        <family val="0"/>
        <charset val="1"/>
      </rPr>
      <t xml:space="preserve">2</t>
    </r>
    <r>
      <rPr>
        <sz val="8"/>
        <rFont val="Lucida Casual"/>
        <family val="4"/>
        <charset val="1"/>
      </rPr>
      <t xml:space="preserve">    Más de 3 años</t>
    </r>
  </si>
  <si>
    <r>
      <rPr>
        <b val="true"/>
        <sz val="8"/>
        <rFont val="Lucida Casual"/>
        <family val="0"/>
        <charset val="1"/>
      </rPr>
      <t xml:space="preserve">2    </t>
    </r>
    <r>
      <rPr>
        <sz val="8"/>
        <rFont val="Lucida Casual"/>
        <family val="4"/>
        <charset val="1"/>
      </rPr>
      <t xml:space="preserve">Dependencia de 1 sola actividad</t>
    </r>
  </si>
  <si>
    <r>
      <rPr>
        <b val="true"/>
        <sz val="8"/>
        <rFont val="Lucida Casual"/>
        <family val="0"/>
        <charset val="1"/>
      </rPr>
      <t xml:space="preserve">4    </t>
    </r>
    <r>
      <rPr>
        <sz val="8"/>
        <rFont val="Lucida Casual"/>
        <family val="0"/>
        <charset val="1"/>
      </rPr>
      <t xml:space="preserve">Menor a 150%</t>
    </r>
  </si>
  <si>
    <r>
      <rPr>
        <b val="true"/>
        <sz val="8"/>
        <rFont val="Lucida Casual"/>
        <family val="0"/>
        <charset val="1"/>
      </rPr>
      <t xml:space="preserve">1    </t>
    </r>
    <r>
      <rPr>
        <sz val="8"/>
        <rFont val="Lucida Casual"/>
        <family val="0"/>
        <charset val="1"/>
      </rPr>
      <t xml:space="preserve">Pagos puntuales.  Primer crédito</t>
    </r>
  </si>
  <si>
    <r>
      <rPr>
        <b val="true"/>
        <sz val="8"/>
        <rFont val="Lucida Casual"/>
        <family val="0"/>
        <charset val="1"/>
      </rPr>
      <t xml:space="preserve">3</t>
    </r>
    <r>
      <rPr>
        <sz val="8"/>
        <rFont val="Lucida Casual"/>
        <family val="4"/>
        <charset val="1"/>
      </rPr>
      <t xml:space="preserve">    Entre 2 y 3 años</t>
    </r>
  </si>
  <si>
    <r>
      <rPr>
        <b val="true"/>
        <sz val="8"/>
        <rFont val="Lucida Casual"/>
        <family val="0"/>
        <charset val="1"/>
      </rPr>
      <t xml:space="preserve">2    </t>
    </r>
    <r>
      <rPr>
        <sz val="8"/>
        <rFont val="Lucida Casual"/>
        <family val="0"/>
        <charset val="1"/>
      </rPr>
      <t xml:space="preserve">Atrasado</t>
    </r>
  </si>
  <si>
    <r>
      <rPr>
        <b val="true"/>
        <sz val="8"/>
        <rFont val="Lucida Casual"/>
        <family val="0"/>
        <charset val="1"/>
      </rPr>
      <t xml:space="preserve">4    </t>
    </r>
    <r>
      <rPr>
        <sz val="8"/>
        <rFont val="Lucida Casual"/>
        <family val="4"/>
        <charset val="1"/>
      </rPr>
      <t xml:space="preserve">Entre 1 y 2 años</t>
    </r>
  </si>
  <si>
    <t xml:space="preserve">2.6  Dependencia de la actividad del socio (URBANO)</t>
  </si>
  <si>
    <t xml:space="preserve">3.7 Reprocidad de depòsitos</t>
  </si>
  <si>
    <r>
      <rPr>
        <b val="true"/>
        <sz val="8"/>
        <rFont val="Lucida Casual"/>
        <family val="0"/>
        <charset val="1"/>
      </rPr>
      <t xml:space="preserve">3    </t>
    </r>
    <r>
      <rPr>
        <sz val="8"/>
        <rFont val="Lucida Casual"/>
        <family val="0"/>
        <charset val="1"/>
      </rPr>
      <t xml:space="preserve">Moroso</t>
    </r>
  </si>
  <si>
    <r>
      <rPr>
        <b val="true"/>
        <sz val="8"/>
        <rFont val="Lucida Casual"/>
        <family val="0"/>
        <charset val="1"/>
      </rPr>
      <t xml:space="preserve">5</t>
    </r>
    <r>
      <rPr>
        <sz val="8"/>
        <rFont val="Lucida Casual"/>
        <family val="4"/>
        <charset val="1"/>
      </rPr>
      <t xml:space="preserve">    Menos de 1 año</t>
    </r>
  </si>
  <si>
    <r>
      <rPr>
        <b val="true"/>
        <sz val="8"/>
        <rFont val="Lucida Casual"/>
        <family val="0"/>
        <charset val="1"/>
      </rPr>
      <t xml:space="preserve">1    </t>
    </r>
    <r>
      <rPr>
        <sz val="8"/>
        <rFont val="Lucida Casual"/>
        <family val="4"/>
        <charset val="1"/>
      </rPr>
      <t xml:space="preserve">Dependencia de 1 sola actividad</t>
    </r>
  </si>
  <si>
    <r>
      <rPr>
        <b val="true"/>
        <sz val="8"/>
        <rFont val="Lucida Casual"/>
        <family val="0"/>
        <charset val="1"/>
      </rPr>
      <t xml:space="preserve">1    </t>
    </r>
    <r>
      <rPr>
        <sz val="8"/>
        <rFont val="Lucida Casual"/>
        <family val="0"/>
        <charset val="1"/>
      </rPr>
      <t xml:space="preserve">Favorable </t>
    </r>
  </si>
  <si>
    <r>
      <rPr>
        <b val="true"/>
        <sz val="8"/>
        <rFont val="Lucida Casual"/>
        <family val="0"/>
        <charset val="1"/>
      </rPr>
      <t xml:space="preserve">4    </t>
    </r>
    <r>
      <rPr>
        <sz val="8"/>
        <rFont val="Lucida Casual"/>
        <family val="0"/>
        <charset val="1"/>
      </rPr>
      <t xml:space="preserve">Juicio o castigado</t>
    </r>
  </si>
  <si>
    <r>
      <rPr>
        <b val="true"/>
        <sz val="8"/>
        <rFont val="Lucida Casual"/>
        <family val="0"/>
        <charset val="1"/>
      </rPr>
      <t xml:space="preserve">6    </t>
    </r>
    <r>
      <rPr>
        <sz val="8"/>
        <rFont val="Lucida Casual"/>
        <family val="4"/>
        <charset val="1"/>
      </rPr>
      <t xml:space="preserve">No residente</t>
    </r>
  </si>
  <si>
    <r>
      <rPr>
        <b val="true"/>
        <sz val="8"/>
        <rFont val="Lucida Casual"/>
        <family val="0"/>
        <charset val="1"/>
      </rPr>
      <t xml:space="preserve">2    </t>
    </r>
    <r>
      <rPr>
        <sz val="8"/>
        <rFont val="Lucida Casual"/>
        <family val="4"/>
        <charset val="1"/>
      </rPr>
      <t xml:space="preserve">Dos actividades o más</t>
    </r>
  </si>
  <si>
    <r>
      <rPr>
        <b val="true"/>
        <sz val="8"/>
        <rFont val="Lucida Casual"/>
        <family val="0"/>
        <charset val="1"/>
      </rPr>
      <t xml:space="preserve">3    </t>
    </r>
    <r>
      <rPr>
        <sz val="8"/>
        <rFont val="Lucida Casual"/>
        <family val="0"/>
        <charset val="1"/>
      </rPr>
      <t xml:space="preserve">Desfavorable</t>
    </r>
  </si>
  <si>
    <t xml:space="preserve">Capacidad de Pago:</t>
  </si>
  <si>
    <t xml:space="preserve">1.6  Estado Civil</t>
  </si>
  <si>
    <t xml:space="preserve">2.7 Capacidad Administrativa (Educación)</t>
  </si>
  <si>
    <r>
      <rPr>
        <b val="true"/>
        <sz val="8"/>
        <rFont val="Lucida Casual"/>
        <family val="0"/>
        <charset val="1"/>
      </rPr>
      <t xml:space="preserve">1    </t>
    </r>
    <r>
      <rPr>
        <sz val="8"/>
        <rFont val="Lucida Casual"/>
        <family val="0"/>
        <charset val="1"/>
      </rPr>
      <t xml:space="preserve">Suficiente</t>
    </r>
  </si>
  <si>
    <r>
      <rPr>
        <b val="true"/>
        <sz val="8"/>
        <rFont val="Lucida Casual"/>
        <family val="0"/>
        <charset val="1"/>
      </rPr>
      <t xml:space="preserve">1    </t>
    </r>
    <r>
      <rPr>
        <sz val="8"/>
        <rFont val="Lucida Casual"/>
        <family val="4"/>
        <charset val="1"/>
      </rPr>
      <t xml:space="preserve">Casado</t>
    </r>
  </si>
  <si>
    <r>
      <rPr>
        <b val="true"/>
        <sz val="8"/>
        <rFont val="Lucida Casual"/>
        <family val="0"/>
        <charset val="1"/>
      </rPr>
      <t xml:space="preserve">1    </t>
    </r>
    <r>
      <rPr>
        <sz val="8"/>
        <rFont val="Lucida Casual"/>
        <family val="4"/>
        <charset val="1"/>
      </rPr>
      <t xml:space="preserve">Educación Superior</t>
    </r>
  </si>
  <si>
    <r>
      <rPr>
        <b val="true"/>
        <sz val="8"/>
        <rFont val="Lucida Casual"/>
        <family val="0"/>
        <charset val="1"/>
      </rPr>
      <t xml:space="preserve">2    </t>
    </r>
    <r>
      <rPr>
        <sz val="8"/>
        <rFont val="Lucida Casual"/>
        <family val="0"/>
        <charset val="1"/>
      </rPr>
      <t xml:space="preserve">Buena</t>
    </r>
  </si>
  <si>
    <r>
      <rPr>
        <b val="true"/>
        <sz val="8"/>
        <rFont val="Lucida Casual"/>
        <family val="0"/>
        <charset val="1"/>
      </rPr>
      <t xml:space="preserve">2    </t>
    </r>
    <r>
      <rPr>
        <sz val="8"/>
        <rFont val="Lucida Casual"/>
        <family val="4"/>
        <charset val="1"/>
      </rPr>
      <t xml:space="preserve">Viudo</t>
    </r>
  </si>
  <si>
    <r>
      <rPr>
        <b val="true"/>
        <sz val="8"/>
        <rFont val="Lucida Casual"/>
        <family val="0"/>
        <charset val="1"/>
      </rPr>
      <t xml:space="preserve">2    </t>
    </r>
    <r>
      <rPr>
        <sz val="8"/>
        <rFont val="Lucida Casual"/>
        <family val="0"/>
        <charset val="1"/>
      </rPr>
      <t xml:space="preserve">Educaciòn Secundaria</t>
    </r>
  </si>
  <si>
    <r>
      <rPr>
        <b val="true"/>
        <sz val="8"/>
        <rFont val="Lucida Casual"/>
        <family val="0"/>
        <charset val="1"/>
      </rPr>
      <t xml:space="preserve">3    </t>
    </r>
    <r>
      <rPr>
        <sz val="8"/>
        <rFont val="Lucida Casual"/>
        <family val="4"/>
        <charset val="1"/>
      </rPr>
      <t xml:space="preserve">Soltero</t>
    </r>
  </si>
  <si>
    <r>
      <rPr>
        <b val="true"/>
        <sz val="8"/>
        <rFont val="Lucida Casual"/>
        <family val="0"/>
        <charset val="1"/>
      </rPr>
      <t xml:space="preserve">3    </t>
    </r>
    <r>
      <rPr>
        <sz val="8"/>
        <rFont val="Lucida Casual"/>
        <family val="0"/>
        <charset val="1"/>
      </rPr>
      <t xml:space="preserve">Educaciòn Primaria</t>
    </r>
  </si>
  <si>
    <r>
      <rPr>
        <b val="true"/>
        <sz val="8"/>
        <rFont val="Lucida Casual"/>
        <family val="0"/>
        <charset val="1"/>
      </rPr>
      <t xml:space="preserve">4    </t>
    </r>
    <r>
      <rPr>
        <sz val="8"/>
        <rFont val="Lucida Casual"/>
        <family val="0"/>
        <charset val="1"/>
      </rPr>
      <t xml:space="preserve">Insuficiente</t>
    </r>
  </si>
  <si>
    <r>
      <rPr>
        <b val="true"/>
        <sz val="8"/>
        <rFont val="Lucida Casual"/>
        <family val="0"/>
        <charset val="1"/>
      </rPr>
      <t xml:space="preserve">4    </t>
    </r>
    <r>
      <rPr>
        <sz val="8"/>
        <rFont val="Lucida Casual"/>
        <family val="4"/>
        <charset val="1"/>
      </rPr>
      <t xml:space="preserve">Divorciado</t>
    </r>
  </si>
  <si>
    <r>
      <rPr>
        <b val="true"/>
        <sz val="8"/>
        <rFont val="Lucida Casual"/>
        <family val="0"/>
        <charset val="1"/>
      </rPr>
      <t xml:space="preserve">5    </t>
    </r>
    <r>
      <rPr>
        <sz val="8"/>
        <rFont val="Lucida Casual"/>
        <family val="4"/>
        <charset val="1"/>
      </rPr>
      <t xml:space="preserve">Unión Libre</t>
    </r>
  </si>
  <si>
    <t xml:space="preserve">2.8  Local del negocio  (SECTOR URBANO)</t>
  </si>
  <si>
    <t xml:space="preserve">Patrimonio:</t>
  </si>
  <si>
    <r>
      <rPr>
        <b val="true"/>
        <sz val="8"/>
        <rFont val="Lucida Casual"/>
        <family val="0"/>
        <charset val="1"/>
      </rPr>
      <t xml:space="preserve">1    </t>
    </r>
    <r>
      <rPr>
        <sz val="8"/>
        <rFont val="Lucida Casual"/>
        <family val="0"/>
        <charset val="1"/>
      </rPr>
      <t xml:space="preserve">Propio</t>
    </r>
  </si>
  <si>
    <t xml:space="preserve">1.7  Genero</t>
  </si>
  <si>
    <r>
      <rPr>
        <b val="true"/>
        <sz val="8"/>
        <rFont val="Lucida Casual"/>
        <family val="0"/>
        <charset val="1"/>
      </rPr>
      <t xml:space="preserve">2    </t>
    </r>
    <r>
      <rPr>
        <sz val="8"/>
        <rFont val="Lucida Casual"/>
        <family val="0"/>
        <charset val="1"/>
      </rPr>
      <t xml:space="preserve">Arrendado</t>
    </r>
  </si>
  <si>
    <r>
      <rPr>
        <b val="true"/>
        <sz val="8"/>
        <rFont val="Lucida Casual"/>
        <family val="0"/>
        <charset val="1"/>
      </rPr>
      <t xml:space="preserve">2   </t>
    </r>
    <r>
      <rPr>
        <sz val="8"/>
        <rFont val="Lucida Casual"/>
        <family val="0"/>
        <charset val="1"/>
      </rPr>
      <t xml:space="preserve"> Hasta el 200 %</t>
    </r>
  </si>
  <si>
    <r>
      <rPr>
        <b val="true"/>
        <sz val="8"/>
        <rFont val="Lucida Casual"/>
        <family val="0"/>
        <charset val="1"/>
      </rPr>
      <t xml:space="preserve">1</t>
    </r>
    <r>
      <rPr>
        <sz val="8"/>
        <rFont val="Lucida Casual"/>
        <family val="0"/>
        <charset val="1"/>
      </rPr>
      <t xml:space="preserve">    Masculino</t>
    </r>
  </si>
  <si>
    <r>
      <rPr>
        <b val="true"/>
        <sz val="8"/>
        <rFont val="Lucida Casual"/>
        <family val="0"/>
        <charset val="1"/>
      </rPr>
      <t xml:space="preserve">3    </t>
    </r>
    <r>
      <rPr>
        <sz val="8"/>
        <rFont val="Lucida Casual"/>
        <family val="0"/>
        <charset val="1"/>
      </rPr>
      <t xml:space="preserve">Ambulante</t>
    </r>
  </si>
  <si>
    <r>
      <rPr>
        <b val="true"/>
        <sz val="8"/>
        <rFont val="Lucida Casual"/>
        <family val="0"/>
        <charset val="1"/>
      </rPr>
      <t xml:space="preserve">3    </t>
    </r>
    <r>
      <rPr>
        <sz val="8"/>
        <rFont val="Lucida Casual"/>
        <family val="0"/>
        <charset val="1"/>
      </rPr>
      <t xml:space="preserve">Hasta el 175%</t>
    </r>
  </si>
  <si>
    <r>
      <rPr>
        <b val="true"/>
        <sz val="8"/>
        <rFont val="Lucida Casual"/>
        <family val="0"/>
        <charset val="1"/>
      </rPr>
      <t xml:space="preserve">2    </t>
    </r>
    <r>
      <rPr>
        <sz val="8"/>
        <rFont val="Lucida Casual"/>
        <family val="4"/>
        <charset val="1"/>
      </rPr>
      <t xml:space="preserve">Femenino</t>
    </r>
  </si>
  <si>
    <r>
      <rPr>
        <b val="true"/>
        <sz val="8"/>
        <rFont val="Lucida Casual"/>
        <family val="0"/>
        <charset val="1"/>
      </rPr>
      <t xml:space="preserve">4    </t>
    </r>
    <r>
      <rPr>
        <sz val="8"/>
        <rFont val="Lucida Casual"/>
        <family val="0"/>
        <charset val="1"/>
      </rPr>
      <t xml:space="preserve">Hasta el 100%</t>
    </r>
  </si>
  <si>
    <t xml:space="preserve">2.8  Local del negocio  (SECTOR RURAL)</t>
  </si>
  <si>
    <t xml:space="preserve">1.8 Datos Generales bàsicos</t>
  </si>
  <si>
    <t xml:space="preserve">Documentos de respaldo:</t>
  </si>
  <si>
    <r>
      <rPr>
        <b val="true"/>
        <sz val="8"/>
        <rFont val="Lucida Casual"/>
        <family val="0"/>
        <charset val="1"/>
      </rPr>
      <t xml:space="preserve">1</t>
    </r>
    <r>
      <rPr>
        <sz val="8"/>
        <rFont val="Lucida Casual"/>
        <family val="0"/>
        <charset val="1"/>
      </rPr>
      <t xml:space="preserve">    Correctos</t>
    </r>
  </si>
  <si>
    <r>
      <rPr>
        <b val="true"/>
        <sz val="8"/>
        <rFont val="Lucida Casual"/>
        <family val="0"/>
        <charset val="1"/>
      </rPr>
      <t xml:space="preserve">2</t>
    </r>
    <r>
      <rPr>
        <sz val="8"/>
        <rFont val="Lucida Casual"/>
        <family val="0"/>
        <charset val="1"/>
      </rPr>
      <t xml:space="preserve">    Incorrectos</t>
    </r>
  </si>
  <si>
    <r>
      <rPr>
        <b val="true"/>
        <sz val="8"/>
        <rFont val="Lucida Casual"/>
        <family val="0"/>
        <charset val="1"/>
      </rPr>
      <t xml:space="preserve">2    </t>
    </r>
    <r>
      <rPr>
        <sz val="8"/>
        <rFont val="Lucida Casual"/>
        <family val="0"/>
        <charset val="1"/>
      </rPr>
      <t xml:space="preserve">Aceptables</t>
    </r>
  </si>
  <si>
    <r>
      <rPr>
        <b val="true"/>
        <sz val="8"/>
        <rFont val="Lucida Casual"/>
        <family val="0"/>
        <charset val="1"/>
      </rPr>
      <t xml:space="preserve">3</t>
    </r>
    <r>
      <rPr>
        <sz val="8"/>
        <rFont val="Lucida Casual"/>
        <family val="0"/>
        <charset val="1"/>
      </rPr>
      <t xml:space="preserve">    Incompletos</t>
    </r>
  </si>
  <si>
    <r>
      <rPr>
        <b val="true"/>
        <sz val="8"/>
        <rFont val="Lucida Casual"/>
        <family val="0"/>
        <charset val="1"/>
      </rPr>
      <t xml:space="preserve">3    </t>
    </r>
    <r>
      <rPr>
        <sz val="8"/>
        <rFont val="Lucida Casual"/>
        <family val="0"/>
        <charset val="1"/>
      </rPr>
      <t xml:space="preserve">No Aceptables</t>
    </r>
  </si>
  <si>
    <r>
      <rPr>
        <b val="true"/>
        <sz val="8"/>
        <rFont val="Lucida Casual"/>
        <family val="0"/>
        <charset val="1"/>
      </rPr>
      <t xml:space="preserve">4    </t>
    </r>
    <r>
      <rPr>
        <sz val="8"/>
        <rFont val="Lucida Casual"/>
        <family val="0"/>
        <charset val="1"/>
      </rPr>
      <t xml:space="preserve">Ninguno</t>
    </r>
  </si>
  <si>
    <t xml:space="preserve">1.4   Calificación Interna </t>
  </si>
  <si>
    <t xml:space="preserve">4.3   GARANTIA MIXTA</t>
  </si>
  <si>
    <r>
      <rPr>
        <b val="true"/>
        <sz val="8"/>
        <rFont val="Century Gothic"/>
        <family val="2"/>
        <charset val="1"/>
      </rPr>
      <t xml:space="preserve">4.1   GARANTIA REAL             </t>
    </r>
    <r>
      <rPr>
        <b val="true"/>
        <sz val="8"/>
        <color rgb="FFFF0000"/>
        <rFont val="Century Gothic"/>
        <family val="2"/>
        <charset val="1"/>
      </rPr>
      <t xml:space="preserve">(59%)</t>
    </r>
  </si>
  <si>
    <r>
      <rPr>
        <b val="true"/>
        <sz val="8"/>
        <rFont val="Century Gothic"/>
        <family val="2"/>
        <charset val="1"/>
      </rPr>
      <t xml:space="preserve">4.2   GARANTIA PERSONAL   </t>
    </r>
    <r>
      <rPr>
        <b val="true"/>
        <sz val="8"/>
        <color rgb="FFFF0000"/>
        <rFont val="Century Gothic"/>
        <family val="2"/>
        <charset val="1"/>
      </rPr>
      <t xml:space="preserve">(41%)</t>
    </r>
  </si>
  <si>
    <t xml:space="preserve">TOTAL</t>
  </si>
  <si>
    <t xml:space="preserve">CALIFICACION DE RIESGO DE CREDITO </t>
  </si>
  <si>
    <t xml:space="preserve">NUMERO DE SOCIO:</t>
  </si>
  <si>
    <t xml:space="preserve">NOMBRE:</t>
  </si>
  <si>
    <t xml:space="preserve">Detalle el Sector (U = URBANO   o   R = RURAL)</t>
  </si>
  <si>
    <t xml:space="preserve">U</t>
  </si>
  <si>
    <t xml:space="preserve">Detalle Garantía  ( R=REAL    P=PERSONAL Y SIN GARANTE   M=MIXTO )</t>
  </si>
  <si>
    <t xml:space="preserve">P</t>
  </si>
  <si>
    <t xml:space="preserve">L I S T A</t>
  </si>
  <si>
    <t xml:space="preserve">R</t>
  </si>
  <si>
    <t xml:space="preserve">REAL</t>
  </si>
  <si>
    <t xml:space="preserve">Cod</t>
  </si>
  <si>
    <t xml:space="preserve">Calif</t>
  </si>
  <si>
    <t xml:space="preserve">Calif.</t>
  </si>
  <si>
    <t xml:space="preserve">3.  CAPITAL</t>
  </si>
  <si>
    <t xml:space="preserve">PERSONAL</t>
  </si>
  <si>
    <t xml:space="preserve">M</t>
  </si>
  <si>
    <t xml:space="preserve">MIXTA</t>
  </si>
  <si>
    <t xml:space="preserve">4.1 Garantia Real</t>
  </si>
  <si>
    <r>
      <rPr>
        <b val="true"/>
        <sz val="8"/>
        <rFont val="Century Gothic"/>
        <family val="2"/>
        <charset val="1"/>
      </rPr>
      <t xml:space="preserve">1</t>
    </r>
    <r>
      <rPr>
        <sz val="8"/>
        <rFont val="Century Gothic"/>
        <family val="2"/>
        <charset val="1"/>
      </rPr>
      <t xml:space="preserve">      Puntual</t>
    </r>
  </si>
  <si>
    <r>
      <rPr>
        <b val="true"/>
        <sz val="8"/>
        <rFont val="Century Gothic"/>
        <family val="2"/>
        <charset val="1"/>
      </rPr>
      <t xml:space="preserve">1    </t>
    </r>
    <r>
      <rPr>
        <sz val="8"/>
        <rFont val="Century Gothic"/>
        <family val="2"/>
        <charset val="1"/>
      </rPr>
      <t xml:space="preserve">Más de 5 años</t>
    </r>
  </si>
  <si>
    <r>
      <rPr>
        <b val="true"/>
        <sz val="8"/>
        <rFont val="Century Gothic"/>
        <family val="2"/>
        <charset val="1"/>
      </rPr>
      <t xml:space="preserve">1    </t>
    </r>
    <r>
      <rPr>
        <sz val="8"/>
        <rFont val="Century Gothic"/>
        <family val="2"/>
        <charset val="1"/>
      </rPr>
      <t xml:space="preserve">Suficiente capacidad, cubre la</t>
    </r>
  </si>
  <si>
    <r>
      <rPr>
        <b val="true"/>
        <sz val="8"/>
        <rFont val="Century Gothic"/>
        <family val="2"/>
        <charset val="1"/>
      </rPr>
      <t xml:space="preserve">1    </t>
    </r>
    <r>
      <rPr>
        <sz val="8"/>
        <rFont val="Century Gothic"/>
        <family val="2"/>
        <charset val="1"/>
      </rPr>
      <t xml:space="preserve">Sin competencia en el medio</t>
    </r>
  </si>
  <si>
    <r>
      <rPr>
        <b val="true"/>
        <sz val="8"/>
        <rFont val="Century Gothic"/>
        <family val="2"/>
        <charset val="1"/>
      </rPr>
      <t xml:space="preserve">2</t>
    </r>
    <r>
      <rPr>
        <sz val="8"/>
        <rFont val="Century Gothic"/>
        <family val="2"/>
        <charset val="1"/>
      </rPr>
      <t xml:space="preserve">      Atrazado</t>
    </r>
  </si>
  <si>
    <r>
      <rPr>
        <b val="true"/>
        <sz val="8"/>
        <rFont val="Century Gothic"/>
        <family val="2"/>
        <charset val="1"/>
      </rPr>
      <t xml:space="preserve">2    </t>
    </r>
    <r>
      <rPr>
        <sz val="8"/>
        <rFont val="Century Gothic"/>
        <family val="2"/>
        <charset val="1"/>
      </rPr>
      <t xml:space="preserve">Entre 3 y 5 años</t>
    </r>
  </si>
  <si>
    <t xml:space="preserve">      cuota con exceso sobre  el 30%</t>
  </si>
  <si>
    <r>
      <rPr>
        <b val="true"/>
        <sz val="8"/>
        <rFont val="Century Gothic"/>
        <family val="2"/>
        <charset val="1"/>
      </rPr>
      <t xml:space="preserve">1    </t>
    </r>
    <r>
      <rPr>
        <sz val="8"/>
        <rFont val="Century Gothic"/>
        <family val="2"/>
        <charset val="1"/>
      </rPr>
      <t xml:space="preserve">Corto Plazo</t>
    </r>
  </si>
  <si>
    <r>
      <rPr>
        <b val="true"/>
        <sz val="8"/>
        <rFont val="Century Gothic"/>
        <family val="2"/>
        <charset val="1"/>
      </rPr>
      <t xml:space="preserve">2    </t>
    </r>
    <r>
      <rPr>
        <sz val="8"/>
        <rFont val="Century Gothic"/>
        <family val="2"/>
        <charset val="1"/>
      </rPr>
      <t xml:space="preserve">Mediana competencia</t>
    </r>
  </si>
  <si>
    <t xml:space="preserve">URBANO</t>
  </si>
  <si>
    <r>
      <rPr>
        <b val="true"/>
        <sz val="8"/>
        <rFont val="Century Gothic"/>
        <family val="2"/>
        <charset val="1"/>
      </rPr>
      <t xml:space="preserve">3</t>
    </r>
    <r>
      <rPr>
        <sz val="8"/>
        <rFont val="Century Gothic"/>
        <family val="2"/>
        <charset val="1"/>
      </rPr>
      <t xml:space="preserve">      Moroso</t>
    </r>
  </si>
  <si>
    <r>
      <rPr>
        <b val="true"/>
        <sz val="8"/>
        <rFont val="Century Gothic"/>
        <family val="2"/>
        <charset val="1"/>
      </rPr>
      <t xml:space="preserve">3    </t>
    </r>
    <r>
      <rPr>
        <sz val="8"/>
        <rFont val="Century Gothic"/>
        <family val="2"/>
        <charset val="1"/>
      </rPr>
      <t xml:space="preserve">Entre 1 y 3 años</t>
    </r>
  </si>
  <si>
    <t xml:space="preserve">              ingresos provienen del negocio</t>
  </si>
  <si>
    <r>
      <rPr>
        <b val="true"/>
        <sz val="8"/>
        <rFont val="Century Gothic"/>
        <family val="2"/>
        <charset val="1"/>
      </rPr>
      <t xml:space="preserve">2    </t>
    </r>
    <r>
      <rPr>
        <sz val="8"/>
        <rFont val="Century Gothic"/>
        <family val="2"/>
        <charset val="1"/>
      </rPr>
      <t xml:space="preserve">Mediano</t>
    </r>
  </si>
  <si>
    <r>
      <rPr>
        <b val="true"/>
        <sz val="8"/>
        <rFont val="Century Gothic"/>
        <family val="2"/>
        <charset val="1"/>
      </rPr>
      <t xml:space="preserve">3    </t>
    </r>
    <r>
      <rPr>
        <sz val="8"/>
        <rFont val="Century Gothic"/>
        <family val="2"/>
        <charset val="1"/>
      </rPr>
      <t xml:space="preserve">Alta competencia</t>
    </r>
  </si>
  <si>
    <t xml:space="preserve">RURAL</t>
  </si>
  <si>
    <r>
      <rPr>
        <b val="true"/>
        <sz val="8"/>
        <rFont val="Century Gothic"/>
        <family val="2"/>
        <charset val="1"/>
      </rPr>
      <t xml:space="preserve">4      </t>
    </r>
    <r>
      <rPr>
        <sz val="8"/>
        <rFont val="Century Gothic"/>
        <family val="2"/>
        <charset val="1"/>
      </rPr>
      <t xml:space="preserve">Juicio o Castigado</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</si>
  <si>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</si>
  <si>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2    </t>
    </r>
    <r>
      <rPr>
        <sz val="8"/>
        <rFont val="Century Gothic"/>
        <family val="2"/>
        <charset val="1"/>
      </rPr>
      <t xml:space="preserve">Buena capacidad, cubre la cuota</t>
    </r>
  </si>
  <si>
    <r>
      <rPr>
        <b val="true"/>
        <sz val="8"/>
        <rFont val="Century Gothic"/>
        <family val="2"/>
        <charset val="1"/>
      </rPr>
      <t xml:space="preserve">3    </t>
    </r>
    <r>
      <rPr>
        <sz val="8"/>
        <rFont val="Century Gothic"/>
        <family val="2"/>
        <charset val="1"/>
      </rPr>
      <t xml:space="preserve">Largo Plazo</t>
    </r>
  </si>
  <si>
    <t xml:space="preserve">      con exceso de hasta el 29%,</t>
  </si>
  <si>
    <r>
      <rPr>
        <b val="true"/>
        <sz val="8"/>
        <rFont val="Century Gothic"/>
        <family val="2"/>
        <charset val="1"/>
      </rPr>
      <t xml:space="preserve">Estado</t>
    </r>
    <r>
      <rPr>
        <sz val="8"/>
        <rFont val="Century Gothic"/>
        <family val="2"/>
        <charset val="1"/>
      </rPr>
      <t xml:space="preserve">:</t>
    </r>
  </si>
  <si>
    <r>
      <rPr>
        <b val="true"/>
        <sz val="8"/>
        <rFont val="Century Gothic"/>
        <family val="2"/>
        <charset val="1"/>
      </rPr>
      <t xml:space="preserve">1</t>
    </r>
    <r>
      <rPr>
        <sz val="8"/>
        <rFont val="Century Gothic"/>
        <family val="2"/>
        <charset val="1"/>
      </rPr>
      <t xml:space="preserve">       Más de 3 años</t>
    </r>
  </si>
  <si>
    <r>
      <rPr>
        <b val="true"/>
        <sz val="8"/>
        <rFont val="Century Gothic"/>
        <family val="2"/>
        <charset val="1"/>
      </rPr>
      <t xml:space="preserve">        1    </t>
    </r>
    <r>
      <rPr>
        <sz val="8"/>
        <rFont val="Century Gothic"/>
        <family val="2"/>
        <charset val="1"/>
      </rPr>
      <t xml:space="preserve">Buena organización, dispone de registros y</t>
    </r>
  </si>
  <si>
    <t xml:space="preserve">              necesita otra fuente de ingresos.</t>
  </si>
  <si>
    <r>
      <rPr>
        <b val="true"/>
        <sz val="8"/>
        <rFont val="Century Gothic"/>
        <family val="2"/>
        <charset val="1"/>
      </rPr>
      <t xml:space="preserve">1    </t>
    </r>
    <r>
      <rPr>
        <sz val="8"/>
        <rFont val="Century Gothic"/>
        <family val="2"/>
        <charset val="1"/>
      </rPr>
      <t xml:space="preserve">Optimo</t>
    </r>
  </si>
  <si>
    <r>
      <rPr>
        <b val="true"/>
        <sz val="8"/>
        <rFont val="Century Gothic"/>
        <family val="2"/>
        <charset val="1"/>
      </rPr>
      <t xml:space="preserve">1    </t>
    </r>
    <r>
      <rPr>
        <sz val="8"/>
        <rFont val="Century Gothic"/>
        <family val="2"/>
        <charset val="1"/>
      </rPr>
      <t xml:space="preserve">Sector en crecimiento.</t>
    </r>
  </si>
  <si>
    <r>
      <rPr>
        <b val="true"/>
        <sz val="8"/>
        <rFont val="Century Gothic"/>
        <family val="2"/>
        <charset val="1"/>
      </rPr>
      <t xml:space="preserve">2</t>
    </r>
    <r>
      <rPr>
        <sz val="8"/>
        <rFont val="Century Gothic"/>
        <family val="2"/>
        <charset val="1"/>
      </rPr>
      <t xml:space="preserve">       Entre 2 y 3 años</t>
    </r>
  </si>
  <si>
    <t xml:space="preserve">              Dispone de registros y</t>
  </si>
  <si>
    <r>
      <rPr>
        <b val="true"/>
        <sz val="8"/>
        <rFont val="Century Gothic"/>
        <family val="2"/>
        <charset val="1"/>
      </rPr>
      <t xml:space="preserve">3    </t>
    </r>
    <r>
      <rPr>
        <sz val="8"/>
        <rFont val="Century Gothic"/>
        <family val="2"/>
        <charset val="1"/>
      </rPr>
      <t xml:space="preserve">Insuficiente capacidad,</t>
    </r>
  </si>
  <si>
    <r>
      <rPr>
        <b val="true"/>
        <sz val="8"/>
        <rFont val="Century Gothic"/>
        <family val="2"/>
        <charset val="1"/>
      </rPr>
      <t xml:space="preserve">2    </t>
    </r>
    <r>
      <rPr>
        <sz val="8"/>
        <rFont val="Century Gothic"/>
        <family val="2"/>
        <charset val="1"/>
      </rPr>
      <t xml:space="preserve">Bueno</t>
    </r>
  </si>
  <si>
    <r>
      <rPr>
        <b val="true"/>
        <sz val="8"/>
        <rFont val="Century Gothic"/>
        <family val="2"/>
        <charset val="1"/>
      </rPr>
      <t xml:space="preserve">2    </t>
    </r>
    <r>
      <rPr>
        <sz val="8"/>
        <rFont val="Century Gothic"/>
        <family val="2"/>
        <charset val="1"/>
      </rPr>
      <t xml:space="preserve">Sector en estabilidad.</t>
    </r>
  </si>
  <si>
    <r>
      <rPr>
        <b val="true"/>
        <sz val="8"/>
        <rFont val="Century Gothic"/>
        <family val="2"/>
        <charset val="1"/>
      </rPr>
      <t xml:space="preserve">3</t>
    </r>
    <r>
      <rPr>
        <sz val="8"/>
        <rFont val="Century Gothic"/>
        <family val="2"/>
        <charset val="1"/>
      </rPr>
      <t xml:space="preserve">       Entre 1 y 2 años</t>
    </r>
  </si>
  <si>
    <t xml:space="preserve">              sin problemas en la venta</t>
  </si>
  <si>
    <t xml:space="preserve">              no cubre la cuota</t>
  </si>
  <si>
    <r>
      <rPr>
        <b val="true"/>
        <sz val="8"/>
        <rFont val="Century Gothic"/>
        <family val="2"/>
        <charset val="1"/>
      </rPr>
      <t xml:space="preserve">3    </t>
    </r>
    <r>
      <rPr>
        <sz val="8"/>
        <rFont val="Century Gothic"/>
        <family val="2"/>
        <charset val="1"/>
      </rPr>
      <t xml:space="preserve">Regular</t>
    </r>
  </si>
  <si>
    <r>
      <rPr>
        <b val="true"/>
        <sz val="8"/>
        <rFont val="Century Gothic"/>
        <family val="2"/>
        <charset val="1"/>
      </rPr>
      <t xml:space="preserve">3    </t>
    </r>
    <r>
      <rPr>
        <sz val="8"/>
        <rFont val="Century Gothic"/>
        <family val="2"/>
        <charset val="1"/>
      </rPr>
      <t xml:space="preserve">Sector estancado, sin proyecciones</t>
    </r>
  </si>
  <si>
    <r>
      <rPr>
        <b val="true"/>
        <sz val="8"/>
        <rFont val="Century Gothic"/>
        <family val="2"/>
        <charset val="1"/>
      </rPr>
      <t xml:space="preserve">4</t>
    </r>
    <r>
      <rPr>
        <sz val="8"/>
        <rFont val="Century Gothic"/>
        <family val="2"/>
        <charset val="1"/>
      </rPr>
      <t xml:space="preserve">       Menos de 1 año</t>
    </r>
  </si>
  <si>
    <r>
      <rPr>
        <b val="true"/>
        <sz val="8"/>
        <rFont val="Century Gothic"/>
        <family val="2"/>
        <charset val="1"/>
      </rPr>
      <t xml:space="preserve">        2    </t>
    </r>
    <r>
      <rPr>
        <sz val="8"/>
        <rFont val="Century Gothic"/>
        <family val="2"/>
        <charset val="1"/>
      </rPr>
      <t xml:space="preserve">Evidencia buen nivel de ventas</t>
    </r>
  </si>
  <si>
    <r>
      <rPr>
        <b val="true"/>
        <sz val="8"/>
        <rFont val="Century Gothic"/>
        <family val="2"/>
        <charset val="1"/>
      </rPr>
      <t xml:space="preserve">4    </t>
    </r>
    <r>
      <rPr>
        <sz val="8"/>
        <rFont val="Century Gothic"/>
        <family val="2"/>
        <charset val="1"/>
      </rPr>
      <t xml:space="preserve">Sector en recesión, decreciendo</t>
    </r>
  </si>
  <si>
    <t xml:space="preserve">              pero con deficiencias</t>
  </si>
  <si>
    <r>
      <rPr>
        <b val="true"/>
        <sz val="8"/>
        <rFont val="Century Gothic"/>
        <family val="2"/>
        <charset val="1"/>
      </rPr>
      <t xml:space="preserve">1    </t>
    </r>
    <r>
      <rPr>
        <sz val="8"/>
        <rFont val="Century Gothic"/>
        <family val="2"/>
        <charset val="1"/>
      </rPr>
      <t xml:space="preserve">Buena</t>
    </r>
  </si>
  <si>
    <t xml:space="preserve">             en la organización               </t>
  </si>
  <si>
    <r>
      <rPr>
        <b val="true"/>
        <sz val="8"/>
        <rFont val="Century Gothic"/>
        <family val="2"/>
        <charset val="1"/>
      </rPr>
      <t xml:space="preserve">1    </t>
    </r>
    <r>
      <rPr>
        <sz val="8"/>
        <rFont val="Century Gothic"/>
        <family val="2"/>
        <charset val="1"/>
      </rPr>
      <t xml:space="preserve">Mayor en 3% a la inflación</t>
    </r>
  </si>
  <si>
    <r>
      <rPr>
        <b val="true"/>
        <sz val="8"/>
        <rFont val="Century Gothic"/>
        <family val="2"/>
        <charset val="1"/>
      </rPr>
      <t xml:space="preserve">2    </t>
    </r>
    <r>
      <rPr>
        <sz val="8"/>
        <rFont val="Century Gothic"/>
        <family val="2"/>
        <charset val="1"/>
      </rPr>
      <t xml:space="preserve">Regular</t>
    </r>
  </si>
  <si>
    <r>
      <rPr>
        <b val="true"/>
        <sz val="8"/>
        <rFont val="Century Gothic"/>
        <family val="2"/>
        <charset val="1"/>
      </rPr>
      <t xml:space="preserve">1</t>
    </r>
    <r>
      <rPr>
        <sz val="8"/>
        <rFont val="Century Gothic"/>
        <family val="2"/>
        <charset val="1"/>
      </rPr>
      <t xml:space="preserve">       Buena</t>
    </r>
  </si>
  <si>
    <r>
      <rPr>
        <b val="true"/>
        <sz val="8"/>
        <rFont val="Century Gothic"/>
        <family val="2"/>
        <charset val="1"/>
      </rPr>
      <t xml:space="preserve">        3    </t>
    </r>
    <r>
      <rPr>
        <sz val="8"/>
        <rFont val="Century Gothic"/>
        <family val="2"/>
        <charset val="1"/>
      </rPr>
      <t xml:space="preserve">Buena o aceptable organización</t>
    </r>
  </si>
  <si>
    <r>
      <rPr>
        <b val="true"/>
        <sz val="8"/>
        <rFont val="Century Gothic"/>
        <family val="2"/>
        <charset val="1"/>
      </rPr>
      <t xml:space="preserve">2    </t>
    </r>
    <r>
      <rPr>
        <sz val="8"/>
        <rFont val="Century Gothic"/>
        <family val="2"/>
        <charset val="1"/>
      </rPr>
      <t xml:space="preserve">Igual a la inflación</t>
    </r>
  </si>
  <si>
    <r>
      <rPr>
        <b val="true"/>
        <sz val="8"/>
        <rFont val="Century Gothic"/>
        <family val="2"/>
        <charset val="1"/>
      </rPr>
      <t xml:space="preserve">3    </t>
    </r>
    <r>
      <rPr>
        <sz val="8"/>
        <rFont val="Century Gothic"/>
        <family val="2"/>
        <charset val="1"/>
      </rPr>
      <t xml:space="preserve">Deficiente</t>
    </r>
  </si>
  <si>
    <r>
      <rPr>
        <b val="true"/>
        <sz val="8"/>
        <rFont val="Century Gothic"/>
        <family val="2"/>
        <charset val="1"/>
      </rPr>
      <t xml:space="preserve">2</t>
    </r>
    <r>
      <rPr>
        <sz val="8"/>
        <rFont val="Century Gothic"/>
        <family val="2"/>
        <charset val="1"/>
      </rPr>
      <t xml:space="preserve">       Mala</t>
    </r>
  </si>
  <si>
    <t xml:space="preserve">              No posee registros</t>
  </si>
  <si>
    <r>
      <rPr>
        <b val="true"/>
        <sz val="8"/>
        <rFont val="Century Gothic"/>
        <family val="2"/>
        <charset val="1"/>
      </rPr>
      <t xml:space="preserve">3    </t>
    </r>
    <r>
      <rPr>
        <sz val="8"/>
        <rFont val="Century Gothic"/>
        <family val="2"/>
        <charset val="1"/>
      </rPr>
      <t xml:space="preserve">Menor que la inflación</t>
    </r>
  </si>
  <si>
    <r>
      <rPr>
        <b val="true"/>
        <sz val="8"/>
        <rFont val="Century Gothic"/>
        <family val="2"/>
        <charset val="1"/>
      </rPr>
      <t xml:space="preserve">Calidad edif. adyacentes</t>
    </r>
    <r>
      <rPr>
        <sz val="8"/>
        <rFont val="Century Gothic"/>
        <family val="2"/>
        <charset val="1"/>
      </rPr>
      <t xml:space="preserve">:</t>
    </r>
  </si>
  <si>
    <r>
      <rPr>
        <b val="true"/>
        <sz val="8"/>
        <rFont val="Century Gothic"/>
        <family val="2"/>
        <charset val="1"/>
      </rPr>
      <t xml:space="preserve">1    </t>
    </r>
    <r>
      <rPr>
        <sz val="8"/>
        <rFont val="Century Gothic"/>
        <family val="2"/>
        <charset val="1"/>
      </rPr>
      <t xml:space="preserve">Alta aceptación por calidad/precio</t>
    </r>
  </si>
  <si>
    <r>
      <rPr>
        <b val="true"/>
        <sz val="8"/>
        <rFont val="Century Gothic"/>
        <family val="2"/>
        <charset val="1"/>
      </rPr>
      <t xml:space="preserve">3</t>
    </r>
    <r>
      <rPr>
        <sz val="8"/>
        <rFont val="Century Gothic"/>
        <family val="2"/>
        <charset val="1"/>
      </rPr>
      <t xml:space="preserve">       No tiene referencias</t>
    </r>
  </si>
  <si>
    <t xml:space="preserve">             con medianos problemas de venta               </t>
  </si>
  <si>
    <r>
      <rPr>
        <b val="true"/>
        <sz val="8"/>
        <rFont val="Century Gothic"/>
        <family val="2"/>
        <charset val="1"/>
      </rPr>
      <t xml:space="preserve">4    </t>
    </r>
    <r>
      <rPr>
        <sz val="8"/>
        <rFont val="Century Gothic"/>
        <family val="2"/>
        <charset val="1"/>
      </rPr>
      <t xml:space="preserve">Pérdida</t>
    </r>
  </si>
  <si>
    <r>
      <rPr>
        <b val="true"/>
        <sz val="8"/>
        <rFont val="Century Gothic"/>
        <family val="2"/>
        <charset val="1"/>
      </rPr>
      <t xml:space="preserve">2    </t>
    </r>
    <r>
      <rPr>
        <sz val="8"/>
        <rFont val="Century Gothic"/>
        <family val="2"/>
        <charset val="1"/>
      </rPr>
      <t xml:space="preserve">Mediana aceptación</t>
    </r>
  </si>
  <si>
    <r>
      <rPr>
        <b val="true"/>
        <sz val="8"/>
        <rFont val="Century Gothic"/>
        <family val="2"/>
        <charset val="1"/>
      </rPr>
      <t xml:space="preserve">        4    </t>
    </r>
    <r>
      <rPr>
        <sz val="8"/>
        <rFont val="Century Gothic"/>
        <family val="2"/>
        <charset val="1"/>
      </rPr>
      <t xml:space="preserve">Presenta mala organización</t>
    </r>
  </si>
  <si>
    <r>
      <rPr>
        <b val="true"/>
        <sz val="8"/>
        <rFont val="Century Gothic"/>
        <family val="2"/>
        <charset val="1"/>
      </rPr>
      <t xml:space="preserve">3    </t>
    </r>
    <r>
      <rPr>
        <sz val="8"/>
        <rFont val="Century Gothic"/>
        <family val="2"/>
        <charset val="1"/>
      </rPr>
      <t xml:space="preserve">Baja, dificultosa aceptación</t>
    </r>
  </si>
  <si>
    <t xml:space="preserve">              no dispone de registros</t>
  </si>
  <si>
    <r>
      <rPr>
        <b val="true"/>
        <sz val="8"/>
        <rFont val="Century Gothic"/>
        <family val="2"/>
        <charset val="1"/>
      </rPr>
      <t xml:space="preserve">1    </t>
    </r>
    <r>
      <rPr>
        <sz val="8"/>
        <rFont val="Century Gothic"/>
        <family val="2"/>
        <charset val="1"/>
      </rPr>
      <t xml:space="preserve">Relación Ingresos/gastos sobre 1,25</t>
    </r>
  </si>
  <si>
    <r>
      <rPr>
        <b val="true"/>
        <sz val="8"/>
        <rFont val="Century Gothic"/>
        <family val="2"/>
        <charset val="1"/>
      </rPr>
      <t xml:space="preserve">3    </t>
    </r>
    <r>
      <rPr>
        <sz val="8"/>
        <rFont val="Century Gothic"/>
        <family val="2"/>
        <charset val="1"/>
      </rPr>
      <t xml:space="preserve">Baja</t>
    </r>
  </si>
  <si>
    <t xml:space="preserve">             Con graves problemas en la venta               </t>
  </si>
  <si>
    <r>
      <rPr>
        <b val="true"/>
        <sz val="8"/>
        <rFont val="Century Gothic"/>
        <family val="2"/>
        <charset val="1"/>
      </rPr>
      <t xml:space="preserve">2</t>
    </r>
    <r>
      <rPr>
        <sz val="8"/>
        <rFont val="Century Gothic"/>
        <family val="2"/>
        <charset val="1"/>
      </rPr>
      <t xml:space="preserve">    Relación Ingresos/gastos entre 1,10 y 1,25</t>
    </r>
  </si>
  <si>
    <r>
      <rPr>
        <b val="true"/>
        <sz val="8"/>
        <rFont val="Century Gothic"/>
        <family val="2"/>
        <charset val="1"/>
      </rPr>
      <t xml:space="preserve">Servicios Básicos</t>
    </r>
    <r>
      <rPr>
        <sz val="8"/>
        <rFont val="Century Gothic"/>
        <family val="2"/>
        <charset val="1"/>
      </rPr>
      <t xml:space="preserve">:</t>
    </r>
  </si>
  <si>
    <r>
      <rPr>
        <b val="true"/>
        <sz val="8"/>
        <rFont val="Century Gothic"/>
        <family val="2"/>
        <charset val="1"/>
      </rPr>
      <t xml:space="preserve">3    </t>
    </r>
    <r>
      <rPr>
        <sz val="8"/>
        <rFont val="Century Gothic"/>
        <family val="2"/>
        <charset val="1"/>
      </rPr>
      <t xml:space="preserve">Relación Ingresos/gastos menor a  1,10</t>
    </r>
  </si>
  <si>
    <r>
      <rPr>
        <b val="true"/>
        <sz val="8"/>
        <rFont val="Century Gothic"/>
        <family val="2"/>
        <charset val="1"/>
      </rPr>
      <t xml:space="preserve">1    </t>
    </r>
    <r>
      <rPr>
        <sz val="8"/>
        <rFont val="Century Gothic"/>
        <family val="2"/>
        <charset val="1"/>
      </rPr>
      <t xml:space="preserve">Todos</t>
    </r>
  </si>
  <si>
    <t xml:space="preserve">PUNTAJE CONDICIONES/MERCADO</t>
  </si>
  <si>
    <t xml:space="preserve">1.4  Calificacion Interna</t>
  </si>
  <si>
    <r>
      <rPr>
        <b val="true"/>
        <sz val="8"/>
        <rFont val="Century Gothic"/>
        <family val="2"/>
        <charset val="1"/>
      </rPr>
      <t xml:space="preserve">1    </t>
    </r>
    <r>
      <rPr>
        <sz val="8"/>
        <rFont val="Century Gothic"/>
        <family val="2"/>
        <charset val="1"/>
      </rPr>
      <t xml:space="preserve">Sin importancia/consumo masivo</t>
    </r>
  </si>
  <si>
    <r>
      <rPr>
        <b val="true"/>
        <sz val="8"/>
        <rFont val="Century Gothic"/>
        <family val="2"/>
        <charset val="1"/>
      </rPr>
      <t xml:space="preserve">2    </t>
    </r>
    <r>
      <rPr>
        <sz val="8"/>
        <rFont val="Century Gothic"/>
        <family val="2"/>
        <charset val="1"/>
      </rPr>
      <t xml:space="preserve">Algunos</t>
    </r>
  </si>
  <si>
    <r>
      <rPr>
        <b val="true"/>
        <sz val="8"/>
        <rFont val="Century Gothic"/>
        <family val="2"/>
        <charset val="1"/>
      </rPr>
      <t xml:space="preserve">2    </t>
    </r>
    <r>
      <rPr>
        <sz val="8"/>
        <rFont val="Century Gothic"/>
        <family val="2"/>
        <charset val="1"/>
      </rPr>
      <t xml:space="preserve">Entre 4 y 8 compradores</t>
    </r>
  </si>
  <si>
    <r>
      <rPr>
        <b val="true"/>
        <sz val="8"/>
        <rFont val="Century Gothic"/>
        <family val="2"/>
        <charset val="1"/>
      </rPr>
      <t xml:space="preserve">3    </t>
    </r>
    <r>
      <rPr>
        <sz val="8"/>
        <rFont val="Century Gothic"/>
        <family val="2"/>
        <charset val="1"/>
      </rPr>
      <t xml:space="preserve">Ninguno</t>
    </r>
  </si>
  <si>
    <r>
      <rPr>
        <b val="true"/>
        <sz val="8"/>
        <rFont val="Century Gothic"/>
        <family val="2"/>
        <charset val="1"/>
      </rPr>
      <t xml:space="preserve">1</t>
    </r>
    <r>
      <rPr>
        <sz val="8"/>
        <rFont val="Century Gothic"/>
        <family val="2"/>
        <charset val="1"/>
      </rPr>
      <t xml:space="preserve">     Cliente A</t>
    </r>
  </si>
  <si>
    <r>
      <rPr>
        <b val="true"/>
        <sz val="8"/>
        <rFont val="Century Gothic"/>
        <family val="2"/>
        <charset val="1"/>
      </rPr>
      <t xml:space="preserve">3    </t>
    </r>
    <r>
      <rPr>
        <sz val="8"/>
        <rFont val="Century Gothic"/>
        <family val="2"/>
        <charset val="1"/>
      </rPr>
      <t xml:space="preserve">Intermediario (entre 1 y 3 compradores)</t>
    </r>
  </si>
  <si>
    <r>
      <rPr>
        <b val="true"/>
        <sz val="8"/>
        <rFont val="Century Gothic"/>
        <family val="2"/>
        <charset val="1"/>
      </rPr>
      <t xml:space="preserve">1    </t>
    </r>
    <r>
      <rPr>
        <sz val="8"/>
        <rFont val="Century Gothic"/>
        <family val="2"/>
        <charset val="1"/>
      </rPr>
      <t xml:space="preserve">Menor al 30%</t>
    </r>
  </si>
  <si>
    <t xml:space="preserve">RESUMEN CALIFICACION DE RIESGO</t>
  </si>
  <si>
    <r>
      <rPr>
        <b val="true"/>
        <sz val="8"/>
        <rFont val="Century Gothic"/>
        <family val="2"/>
        <charset val="1"/>
      </rPr>
      <t xml:space="preserve">2</t>
    </r>
    <r>
      <rPr>
        <sz val="8"/>
        <rFont val="Century Gothic"/>
        <family val="2"/>
        <charset val="1"/>
      </rPr>
      <t xml:space="preserve">     Cliente B</t>
    </r>
  </si>
  <si>
    <r>
      <rPr>
        <b val="true"/>
        <sz val="8"/>
        <rFont val="Century Gothic"/>
        <family val="2"/>
        <charset val="1"/>
      </rPr>
      <t xml:space="preserve">2    </t>
    </r>
    <r>
      <rPr>
        <sz val="8"/>
        <rFont val="Century Gothic"/>
        <family val="2"/>
        <charset val="1"/>
      </rPr>
      <t xml:space="preserve">Entre 30% al 40%</t>
    </r>
  </si>
  <si>
    <r>
      <rPr>
        <b val="true"/>
        <sz val="8"/>
        <rFont val="Century Gothic"/>
        <family val="2"/>
        <charset val="1"/>
      </rPr>
      <t xml:space="preserve">1    </t>
    </r>
    <r>
      <rPr>
        <sz val="8"/>
        <rFont val="Century Gothic"/>
        <family val="2"/>
        <charset val="1"/>
      </rPr>
      <t xml:space="preserve">Más del 200%</t>
    </r>
  </si>
  <si>
    <r>
      <rPr>
        <b val="true"/>
        <sz val="8"/>
        <rFont val="Century Gothic"/>
        <family val="2"/>
        <charset val="1"/>
      </rPr>
      <t xml:space="preserve">3</t>
    </r>
    <r>
      <rPr>
        <sz val="8"/>
        <rFont val="Century Gothic"/>
        <family val="2"/>
        <charset val="1"/>
      </rPr>
      <t xml:space="preserve">     Cliente C</t>
    </r>
  </si>
  <si>
    <r>
      <rPr>
        <b val="true"/>
        <sz val="8"/>
        <rFont val="Century Gothic"/>
        <family val="2"/>
        <charset val="1"/>
      </rPr>
      <t xml:space="preserve">1    </t>
    </r>
    <r>
      <rPr>
        <sz val="8"/>
        <rFont val="Century Gothic"/>
        <family val="2"/>
        <charset val="1"/>
      </rPr>
      <t xml:space="preserve">Sin importancia/facilidad para proveerse</t>
    </r>
  </si>
  <si>
    <r>
      <rPr>
        <b val="true"/>
        <sz val="8"/>
        <rFont val="Century Gothic"/>
        <family val="2"/>
        <charset val="1"/>
      </rPr>
      <t xml:space="preserve">3    </t>
    </r>
    <r>
      <rPr>
        <sz val="8"/>
        <rFont val="Century Gothic"/>
        <family val="2"/>
        <charset val="1"/>
      </rPr>
      <t xml:space="preserve">Entre 40% y 50%</t>
    </r>
  </si>
  <si>
    <r>
      <rPr>
        <b val="true"/>
        <sz val="8"/>
        <rFont val="Century Gothic"/>
        <family val="2"/>
        <charset val="1"/>
      </rPr>
      <t xml:space="preserve">2    </t>
    </r>
    <r>
      <rPr>
        <sz val="8"/>
        <rFont val="Century Gothic"/>
        <family val="2"/>
        <charset val="1"/>
      </rPr>
      <t xml:space="preserve">El 200%</t>
    </r>
  </si>
  <si>
    <t xml:space="preserve">Calif. Obtenida</t>
  </si>
  <si>
    <t xml:space="preserve">Calif. Optima</t>
  </si>
  <si>
    <r>
      <rPr>
        <b val="true"/>
        <sz val="8"/>
        <rFont val="Century Gothic"/>
        <family val="2"/>
        <charset val="1"/>
      </rPr>
      <t xml:space="preserve">4</t>
    </r>
    <r>
      <rPr>
        <sz val="8"/>
        <rFont val="Century Gothic"/>
        <family val="2"/>
        <charset val="1"/>
      </rPr>
      <t xml:space="preserve">     Clente  D o E</t>
    </r>
  </si>
  <si>
    <r>
      <rPr>
        <b val="true"/>
        <sz val="8"/>
        <rFont val="Century Gothic"/>
        <family val="2"/>
        <charset val="1"/>
      </rPr>
      <t xml:space="preserve">2    </t>
    </r>
    <r>
      <rPr>
        <sz val="8"/>
        <rFont val="Century Gothic"/>
        <family val="2"/>
        <charset val="1"/>
      </rPr>
      <t xml:space="preserve">Más de 3 proveedores</t>
    </r>
  </si>
  <si>
    <r>
      <rPr>
        <b val="true"/>
        <sz val="8"/>
        <rFont val="Century Gothic"/>
        <family val="2"/>
        <charset val="1"/>
      </rPr>
      <t xml:space="preserve">4    </t>
    </r>
    <r>
      <rPr>
        <sz val="8"/>
        <rFont val="Century Gothic"/>
        <family val="2"/>
        <charset val="1"/>
      </rPr>
      <t xml:space="preserve">Más del 50%</t>
    </r>
  </si>
  <si>
    <r>
      <rPr>
        <b val="true"/>
        <sz val="8"/>
        <rFont val="Century Gothic"/>
        <family val="2"/>
        <charset val="1"/>
      </rPr>
      <t xml:space="preserve">3    </t>
    </r>
    <r>
      <rPr>
        <sz val="8"/>
        <rFont val="Century Gothic"/>
        <family val="2"/>
        <charset val="1"/>
      </rPr>
      <t xml:space="preserve">Menos del 200%</t>
    </r>
  </si>
  <si>
    <t xml:space="preserve">Carácter</t>
  </si>
  <si>
    <r>
      <rPr>
        <b val="true"/>
        <sz val="8"/>
        <rFont val="Century Gothic"/>
        <family val="2"/>
        <charset val="1"/>
      </rPr>
      <t xml:space="preserve">5</t>
    </r>
    <r>
      <rPr>
        <sz val="8"/>
        <rFont val="Century Gothic"/>
        <family val="2"/>
        <charset val="1"/>
      </rPr>
      <t xml:space="preserve">     Cuentas cerradas</t>
    </r>
  </si>
  <si>
    <r>
      <rPr>
        <b val="true"/>
        <sz val="8"/>
        <rFont val="Century Gothic"/>
        <family val="2"/>
        <charset val="1"/>
      </rPr>
      <t xml:space="preserve">3    </t>
    </r>
    <r>
      <rPr>
        <sz val="8"/>
        <rFont val="Century Gothic"/>
        <family val="2"/>
        <charset val="1"/>
      </rPr>
      <t xml:space="preserve">Entre 2 a 3 proveedores</t>
    </r>
  </si>
  <si>
    <t xml:space="preserve">Capacidad de Gestión</t>
  </si>
  <si>
    <r>
      <rPr>
        <b val="true"/>
        <sz val="8"/>
        <rFont val="Century Gothic"/>
        <family val="2"/>
        <charset val="1"/>
      </rPr>
      <t xml:space="preserve">6</t>
    </r>
    <r>
      <rPr>
        <sz val="8"/>
        <rFont val="Century Gothic"/>
        <family val="2"/>
        <charset val="1"/>
      </rPr>
      <t xml:space="preserve">     No tienereferencias</t>
    </r>
  </si>
  <si>
    <r>
      <rPr>
        <b val="true"/>
        <sz val="8"/>
        <rFont val="Century Gothic"/>
        <family val="2"/>
        <charset val="1"/>
      </rPr>
      <t xml:space="preserve">4</t>
    </r>
    <r>
      <rPr>
        <sz val="8"/>
        <rFont val="Century Gothic"/>
        <family val="2"/>
        <charset val="1"/>
      </rPr>
      <t xml:space="preserve">    Un  proveedor, alta dependencia</t>
    </r>
  </si>
  <si>
    <r>
      <rPr>
        <b val="true"/>
        <sz val="8"/>
        <rFont val="Century Gothic"/>
        <family val="2"/>
        <charset val="1"/>
      </rPr>
      <t xml:space="preserve">1    </t>
    </r>
    <r>
      <rPr>
        <sz val="8"/>
        <rFont val="Century Gothic"/>
        <family val="2"/>
        <charset val="1"/>
      </rPr>
      <t xml:space="preserve">Propietario del negocio o terreno</t>
    </r>
  </si>
  <si>
    <t xml:space="preserve">Capital</t>
  </si>
  <si>
    <r>
      <rPr>
        <b val="true"/>
        <sz val="8"/>
        <rFont val="Century Gothic"/>
        <family val="2"/>
        <charset val="1"/>
      </rPr>
      <t xml:space="preserve">2    </t>
    </r>
    <r>
      <rPr>
        <sz val="8"/>
        <rFont val="Century Gothic"/>
        <family val="2"/>
        <charset val="1"/>
      </rPr>
      <t xml:space="preserve">En sociedad (al partir)</t>
    </r>
  </si>
  <si>
    <t xml:space="preserve">4.2 Garantia Personal y Sin Garante</t>
  </si>
  <si>
    <t xml:space="preserve">Colateral</t>
  </si>
  <si>
    <r>
      <rPr>
        <b val="true"/>
        <sz val="8"/>
        <rFont val="Century Gothic"/>
        <family val="2"/>
        <charset val="1"/>
      </rPr>
      <t xml:space="preserve">1    </t>
    </r>
    <r>
      <rPr>
        <sz val="8"/>
        <rFont val="Century Gothic"/>
        <family val="2"/>
        <charset val="1"/>
      </rPr>
      <t xml:space="preserve">Propio</t>
    </r>
  </si>
  <si>
    <r>
      <rPr>
        <b val="true"/>
        <sz val="8"/>
        <rFont val="Century Gothic"/>
        <family val="2"/>
        <charset val="1"/>
      </rPr>
      <t xml:space="preserve">1    </t>
    </r>
    <r>
      <rPr>
        <sz val="8"/>
        <rFont val="Century Gothic"/>
        <family val="2"/>
        <charset val="1"/>
      </rPr>
      <t xml:space="preserve">Familiar</t>
    </r>
  </si>
  <si>
    <r>
      <rPr>
        <b val="true"/>
        <sz val="8"/>
        <rFont val="Century Gothic"/>
        <family val="2"/>
        <charset val="1"/>
      </rPr>
      <t xml:space="preserve">3    </t>
    </r>
    <r>
      <rPr>
        <sz val="8"/>
        <rFont val="Century Gothic"/>
        <family val="2"/>
        <charset val="1"/>
      </rPr>
      <t xml:space="preserve">Negocio o terreno arrendado</t>
    </r>
  </si>
  <si>
    <t xml:space="preserve">Condiciones de mercado</t>
  </si>
  <si>
    <r>
      <rPr>
        <b val="true"/>
        <sz val="8"/>
        <rFont val="Century Gothic"/>
        <family val="2"/>
        <charset val="1"/>
      </rPr>
      <t xml:space="preserve">2</t>
    </r>
    <r>
      <rPr>
        <sz val="8"/>
        <rFont val="Century Gothic"/>
        <family val="2"/>
        <charset val="1"/>
      </rPr>
      <t xml:space="preserve">    Más de 3 años</t>
    </r>
  </si>
  <si>
    <r>
      <rPr>
        <b val="true"/>
        <sz val="8"/>
        <rFont val="Century Gothic"/>
        <family val="2"/>
        <charset val="1"/>
      </rPr>
      <t xml:space="preserve">2    </t>
    </r>
    <r>
      <rPr>
        <sz val="8"/>
        <rFont val="Century Gothic"/>
        <family val="2"/>
        <charset val="1"/>
      </rPr>
      <t xml:space="preserve">Familiar y trabajadores</t>
    </r>
  </si>
  <si>
    <r>
      <rPr>
        <b val="true"/>
        <sz val="8"/>
        <rFont val="Century Gothic"/>
        <family val="2"/>
        <charset val="1"/>
      </rPr>
      <t xml:space="preserve">1    </t>
    </r>
    <r>
      <rPr>
        <sz val="8"/>
        <rFont val="Century Gothic"/>
        <family val="2"/>
        <charset val="1"/>
      </rPr>
      <t xml:space="preserve">Pagos puntuales.  Primer crédito</t>
    </r>
  </si>
  <si>
    <r>
      <rPr>
        <b val="true"/>
        <sz val="8"/>
        <rFont val="Century Gothic"/>
        <family val="2"/>
        <charset val="1"/>
      </rPr>
      <t xml:space="preserve">3</t>
    </r>
    <r>
      <rPr>
        <sz val="8"/>
        <rFont val="Century Gothic"/>
        <family val="2"/>
        <charset val="1"/>
      </rPr>
      <t xml:space="preserve">    Entre 2 y 3 años</t>
    </r>
  </si>
  <si>
    <r>
      <rPr>
        <b val="true"/>
        <sz val="8"/>
        <rFont val="Century Gothic"/>
        <family val="2"/>
        <charset val="1"/>
      </rPr>
      <t xml:space="preserve">3    </t>
    </r>
    <r>
      <rPr>
        <sz val="8"/>
        <rFont val="Century Gothic"/>
        <family val="2"/>
        <charset val="1"/>
      </rPr>
      <t xml:space="preserve">Sólo trabajadores</t>
    </r>
  </si>
  <si>
    <r>
      <rPr>
        <b val="true"/>
        <sz val="8"/>
        <rFont val="Century Gothic"/>
        <family val="2"/>
        <charset val="1"/>
      </rPr>
      <t xml:space="preserve">1    </t>
    </r>
    <r>
      <rPr>
        <sz val="8"/>
        <rFont val="Century Gothic"/>
        <family val="2"/>
        <charset val="1"/>
      </rPr>
      <t xml:space="preserve">Màs del 200%</t>
    </r>
  </si>
  <si>
    <r>
      <rPr>
        <b val="true"/>
        <sz val="8"/>
        <rFont val="Century Gothic"/>
        <family val="2"/>
        <charset val="1"/>
      </rPr>
      <t xml:space="preserve">2    </t>
    </r>
    <r>
      <rPr>
        <sz val="8"/>
        <rFont val="Century Gothic"/>
        <family val="2"/>
        <charset val="1"/>
      </rPr>
      <t xml:space="preserve">Atrasado</t>
    </r>
  </si>
  <si>
    <r>
      <rPr>
        <b val="true"/>
        <sz val="8"/>
        <rFont val="Century Gothic"/>
        <family val="2"/>
        <charset val="1"/>
      </rPr>
      <t xml:space="preserve">4    </t>
    </r>
    <r>
      <rPr>
        <sz val="8"/>
        <rFont val="Century Gothic"/>
        <family val="2"/>
        <charset val="1"/>
      </rPr>
      <t xml:space="preserve">Entre 1 y 2 años</t>
    </r>
  </si>
  <si>
    <t xml:space="preserve">2.6  Dependencia de la actividad del socio  (RURAL)</t>
  </si>
  <si>
    <r>
      <rPr>
        <b val="true"/>
        <sz val="8"/>
        <rFont val="Century Gothic"/>
        <family val="2"/>
        <charset val="1"/>
      </rPr>
      <t xml:space="preserve">2    </t>
    </r>
    <r>
      <rPr>
        <sz val="8"/>
        <rFont val="Century Gothic"/>
        <family val="2"/>
        <charset val="1"/>
      </rPr>
      <t xml:space="preserve">Del 200% al  175%</t>
    </r>
  </si>
  <si>
    <r>
      <rPr>
        <b val="true"/>
        <sz val="8"/>
        <rFont val="Century Gothic"/>
        <family val="2"/>
        <charset val="1"/>
      </rPr>
      <t xml:space="preserve">3    </t>
    </r>
    <r>
      <rPr>
        <sz val="8"/>
        <rFont val="Century Gothic"/>
        <family val="2"/>
        <charset val="1"/>
      </rPr>
      <t xml:space="preserve">Moroso</t>
    </r>
  </si>
  <si>
    <r>
      <rPr>
        <b val="true"/>
        <sz val="8"/>
        <rFont val="Century Gothic"/>
        <family val="2"/>
        <charset val="1"/>
      </rPr>
      <t xml:space="preserve">5</t>
    </r>
    <r>
      <rPr>
        <sz val="8"/>
        <rFont val="Century Gothic"/>
        <family val="2"/>
        <charset val="1"/>
      </rPr>
      <t xml:space="preserve">    Menos de 1 año</t>
    </r>
  </si>
  <si>
    <r>
      <rPr>
        <b val="true"/>
        <sz val="8"/>
        <rFont val="Century Gothic"/>
        <family val="2"/>
        <charset val="1"/>
      </rPr>
      <t xml:space="preserve">1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</si>
  <si>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Del 175% al 150%</t>
    </r>
  </si>
  <si>
    <r>
      <rPr>
        <b val="true"/>
        <sz val="8"/>
        <rFont val="Century Gothic"/>
        <family val="2"/>
        <charset val="1"/>
      </rPr>
      <t xml:space="preserve">4    </t>
    </r>
    <r>
      <rPr>
        <sz val="8"/>
        <rFont val="Century Gothic"/>
        <family val="2"/>
        <charset val="1"/>
      </rPr>
      <t xml:space="preserve">Juicio o castigado</t>
    </r>
  </si>
  <si>
    <t xml:space="preserve">Nivel de riesgo </t>
  </si>
  <si>
    <r>
      <rPr>
        <b val="true"/>
        <sz val="8"/>
        <rFont val="Century Gothic"/>
        <family val="2"/>
        <charset val="1"/>
      </rPr>
      <t xml:space="preserve">6    </t>
    </r>
    <r>
      <rPr>
        <sz val="8"/>
        <rFont val="Century Gothic"/>
        <family val="2"/>
        <charset val="1"/>
      </rPr>
      <t xml:space="preserve">No residente</t>
    </r>
  </si>
  <si>
    <r>
      <rPr>
        <b val="true"/>
        <sz val="8"/>
        <rFont val="Century Gothic"/>
        <family val="2"/>
        <charset val="1"/>
      </rPr>
      <t xml:space="preserve">2    </t>
    </r>
    <r>
      <rPr>
        <sz val="8"/>
        <rFont val="Century Gothic"/>
        <family val="2"/>
        <charset val="1"/>
      </rPr>
      <t xml:space="preserve">Dependencia de 1 sola actividad</t>
    </r>
  </si>
  <si>
    <r>
      <rPr>
        <b val="true"/>
        <sz val="8"/>
        <rFont val="Century Gothic"/>
        <family val="2"/>
        <charset val="1"/>
      </rPr>
      <t xml:space="preserve">4    </t>
    </r>
    <r>
      <rPr>
        <sz val="8"/>
        <rFont val="Century Gothic"/>
        <family val="2"/>
        <charset val="1"/>
      </rPr>
      <t xml:space="preserve">Menor a 150%</t>
    </r>
  </si>
  <si>
    <r>
      <rPr>
        <b val="true"/>
        <sz val="8"/>
        <rFont val="Century Gothic"/>
        <family val="2"/>
        <charset val="1"/>
      </rPr>
      <t xml:space="preserve">1    </t>
    </r>
    <r>
      <rPr>
        <sz val="8"/>
        <rFont val="Century Gothic"/>
        <family val="2"/>
        <charset val="1"/>
      </rPr>
      <t xml:space="preserve">Suficiente</t>
    </r>
  </si>
  <si>
    <t xml:space="preserve">Bajo              mayor o igual a  85     </t>
  </si>
  <si>
    <r>
      <rPr>
        <b val="true"/>
        <sz val="8"/>
        <rFont val="Century Gothic"/>
        <family val="2"/>
        <charset val="1"/>
      </rPr>
      <t xml:space="preserve">1    </t>
    </r>
    <r>
      <rPr>
        <sz val="8"/>
        <rFont val="Century Gothic"/>
        <family val="2"/>
        <charset val="1"/>
      </rPr>
      <t xml:space="preserve">Casado</t>
    </r>
  </si>
  <si>
    <r>
      <rPr>
        <b val="true"/>
        <sz val="8"/>
        <rFont val="Century Gothic"/>
        <family val="2"/>
        <charset val="1"/>
      </rPr>
      <t xml:space="preserve">1    </t>
    </r>
    <r>
      <rPr>
        <sz val="8"/>
        <rFont val="Century Gothic"/>
        <family val="2"/>
        <charset val="1"/>
      </rPr>
      <t xml:space="preserve">Favorable </t>
    </r>
  </si>
  <si>
    <r>
      <rPr>
        <b val="true"/>
        <sz val="8"/>
        <rFont val="Century Gothic"/>
        <family val="2"/>
        <charset val="1"/>
      </rPr>
      <t xml:space="preserve">2    </t>
    </r>
    <r>
      <rPr>
        <sz val="8"/>
        <rFont val="Century Gothic"/>
        <family val="2"/>
        <charset val="1"/>
      </rPr>
      <t xml:space="preserve">Buena</t>
    </r>
  </si>
  <si>
    <t xml:space="preserve">Normal         entre  70 y 85             </t>
  </si>
  <si>
    <r>
      <rPr>
        <b val="true"/>
        <sz val="8"/>
        <rFont val="Century Gothic"/>
        <family val="2"/>
        <charset val="1"/>
      </rPr>
      <t xml:space="preserve">2    </t>
    </r>
    <r>
      <rPr>
        <sz val="8"/>
        <rFont val="Century Gothic"/>
        <family val="2"/>
        <charset val="1"/>
      </rPr>
      <t xml:space="preserve">Viudo</t>
    </r>
  </si>
  <si>
    <r>
      <rPr>
        <b val="true"/>
        <sz val="8"/>
        <rFont val="Century Gothic"/>
        <family val="2"/>
        <charset val="1"/>
      </rPr>
      <t xml:space="preserve">1    </t>
    </r>
    <r>
      <rPr>
        <sz val="8"/>
        <rFont val="Century Gothic"/>
        <family val="2"/>
        <charset val="1"/>
      </rPr>
      <t xml:space="preserve">Dependencia  de 1 sola actividad</t>
    </r>
  </si>
  <si>
    <t xml:space="preserve">Potencial      entre  60 y 70             </t>
  </si>
  <si>
    <r>
      <rPr>
        <b val="true"/>
        <sz val="8"/>
        <rFont val="Century Gothic"/>
        <family val="2"/>
        <charset val="1"/>
      </rPr>
      <t xml:space="preserve">3    </t>
    </r>
    <r>
      <rPr>
        <sz val="8"/>
        <rFont val="Century Gothic"/>
        <family val="2"/>
        <charset val="1"/>
      </rPr>
      <t xml:space="preserve">Soltero</t>
    </r>
  </si>
  <si>
    <r>
      <rPr>
        <b val="true"/>
        <sz val="8"/>
        <rFont val="Century Gothic"/>
        <family val="2"/>
        <charset val="1"/>
      </rPr>
      <t xml:space="preserve">2    </t>
    </r>
    <r>
      <rPr>
        <sz val="8"/>
        <rFont val="Century Gothic"/>
        <family val="2"/>
        <charset val="1"/>
      </rPr>
      <t xml:space="preserve">Dos actividades o más</t>
    </r>
  </si>
  <si>
    <r>
      <rPr>
        <b val="true"/>
        <sz val="8"/>
        <rFont val="Century Gothic"/>
        <family val="2"/>
        <charset val="1"/>
      </rPr>
      <t xml:space="preserve">3    </t>
    </r>
    <r>
      <rPr>
        <sz val="8"/>
        <rFont val="Century Gothic"/>
        <family val="2"/>
        <charset val="1"/>
      </rPr>
      <t xml:space="preserve">Desfavorable</t>
    </r>
  </si>
  <si>
    <r>
      <rPr>
        <b val="true"/>
        <sz val="8"/>
        <rFont val="Century Gothic"/>
        <family val="2"/>
        <charset val="1"/>
      </rPr>
      <t xml:space="preserve">4    </t>
    </r>
    <r>
      <rPr>
        <sz val="8"/>
        <rFont val="Century Gothic"/>
        <family val="2"/>
        <charset val="1"/>
      </rPr>
      <t xml:space="preserve">Insuficiente</t>
    </r>
  </si>
  <si>
    <t xml:space="preserve">Real              entre  50  y 60            </t>
  </si>
  <si>
    <r>
      <rPr>
        <b val="true"/>
        <sz val="8"/>
        <rFont val="Century Gothic"/>
        <family val="2"/>
        <charset val="1"/>
      </rPr>
      <t xml:space="preserve">4    </t>
    </r>
    <r>
      <rPr>
        <sz val="8"/>
        <rFont val="Century Gothic"/>
        <family val="2"/>
        <charset val="1"/>
      </rPr>
      <t xml:space="preserve">Divorciado</t>
    </r>
  </si>
  <si>
    <t xml:space="preserve">Alto               menor a 50                  </t>
  </si>
  <si>
    <r>
      <rPr>
        <b val="true"/>
        <sz val="8"/>
        <rFont val="Century Gothic"/>
        <family val="2"/>
        <charset val="1"/>
      </rPr>
      <t xml:space="preserve">5    </t>
    </r>
    <r>
      <rPr>
        <sz val="8"/>
        <rFont val="Century Gothic"/>
        <family val="2"/>
        <charset val="1"/>
      </rPr>
      <t xml:space="preserve">Unión Libre</t>
    </r>
  </si>
  <si>
    <r>
      <rPr>
        <b val="true"/>
        <sz val="8"/>
        <rFont val="Century Gothic"/>
        <family val="2"/>
        <charset val="1"/>
      </rPr>
      <t xml:space="preserve">1    </t>
    </r>
    <r>
      <rPr>
        <sz val="8"/>
        <rFont val="Century Gothic"/>
        <family val="2"/>
        <charset val="1"/>
      </rPr>
      <t xml:space="preserve">Educación Superior</t>
    </r>
  </si>
  <si>
    <t xml:space="preserve">PUNTAJE TOTAL CAPITAL</t>
  </si>
  <si>
    <r>
      <rPr>
        <b val="true"/>
        <sz val="8"/>
        <rFont val="Century Gothic"/>
        <family val="2"/>
        <charset val="1"/>
      </rPr>
      <t xml:space="preserve">2   </t>
    </r>
    <r>
      <rPr>
        <sz val="8"/>
        <rFont val="Century Gothic"/>
        <family val="2"/>
        <charset val="1"/>
      </rPr>
      <t xml:space="preserve"> Hasta el 200 %</t>
    </r>
  </si>
  <si>
    <r>
      <rPr>
        <b val="true"/>
        <sz val="8"/>
        <rFont val="Century Gothic"/>
        <family val="2"/>
        <charset val="1"/>
      </rPr>
      <t xml:space="preserve">1</t>
    </r>
    <r>
      <rPr>
        <sz val="8"/>
        <rFont val="Century Gothic"/>
        <family val="2"/>
        <charset val="1"/>
      </rPr>
      <t xml:space="preserve">    Masculino</t>
    </r>
  </si>
  <si>
    <r>
      <rPr>
        <b val="true"/>
        <sz val="8"/>
        <rFont val="Century Gothic"/>
        <family val="2"/>
        <charset val="1"/>
      </rPr>
      <t xml:space="preserve">2    </t>
    </r>
    <r>
      <rPr>
        <sz val="8"/>
        <rFont val="Century Gothic"/>
        <family val="2"/>
        <charset val="1"/>
      </rPr>
      <t xml:space="preserve">Educaciòn Secundaria</t>
    </r>
  </si>
  <si>
    <r>
      <rPr>
        <b val="true"/>
        <sz val="8"/>
        <rFont val="Century Gothic"/>
        <family val="2"/>
        <charset val="1"/>
      </rPr>
      <t xml:space="preserve">3    </t>
    </r>
    <r>
      <rPr>
        <sz val="8"/>
        <rFont val="Century Gothic"/>
        <family val="2"/>
        <charset val="1"/>
      </rPr>
      <t xml:space="preserve">Hasta el 175%</t>
    </r>
  </si>
  <si>
    <r>
      <rPr>
        <b val="true"/>
        <sz val="8"/>
        <rFont val="Century Gothic"/>
        <family val="2"/>
        <charset val="1"/>
      </rPr>
      <t xml:space="preserve">2    </t>
    </r>
    <r>
      <rPr>
        <sz val="8"/>
        <rFont val="Century Gothic"/>
        <family val="2"/>
        <charset val="1"/>
      </rPr>
      <t xml:space="preserve">Femenino</t>
    </r>
  </si>
  <si>
    <r>
      <rPr>
        <b val="true"/>
        <sz val="8"/>
        <rFont val="Century Gothic"/>
        <family val="2"/>
        <charset val="1"/>
      </rPr>
      <t xml:space="preserve">3    </t>
    </r>
    <r>
      <rPr>
        <sz val="8"/>
        <rFont val="Century Gothic"/>
        <family val="2"/>
        <charset val="1"/>
      </rPr>
      <t xml:space="preserve">Educaciòn Primaria</t>
    </r>
  </si>
  <si>
    <r>
      <rPr>
        <b val="true"/>
        <sz val="8"/>
        <rFont val="Century Gothic"/>
        <family val="2"/>
        <charset val="1"/>
      </rPr>
      <t xml:space="preserve">4    </t>
    </r>
    <r>
      <rPr>
        <sz val="8"/>
        <rFont val="Century Gothic"/>
        <family val="2"/>
        <charset val="1"/>
      </rPr>
      <t xml:space="preserve">Hasta el 100%</t>
    </r>
  </si>
  <si>
    <r>
      <rPr>
        <b val="true"/>
        <sz val="8"/>
        <rFont val="Century Gothic"/>
        <family val="2"/>
        <charset val="1"/>
      </rPr>
      <t xml:space="preserve">1</t>
    </r>
    <r>
      <rPr>
        <sz val="8"/>
        <rFont val="Century Gothic"/>
        <family val="2"/>
        <charset val="1"/>
      </rPr>
      <t xml:space="preserve">    Correctos</t>
    </r>
  </si>
  <si>
    <r>
      <rPr>
        <b val="true"/>
        <sz val="8"/>
        <rFont val="Century Gothic"/>
        <family val="2"/>
        <charset val="1"/>
      </rPr>
      <t xml:space="preserve">2</t>
    </r>
    <r>
      <rPr>
        <sz val="8"/>
        <rFont val="Century Gothic"/>
        <family val="2"/>
        <charset val="1"/>
      </rPr>
      <t xml:space="preserve">    Incorrectos</t>
    </r>
  </si>
  <si>
    <r>
      <rPr>
        <b val="true"/>
        <sz val="8"/>
        <rFont val="Century Gothic"/>
        <family val="2"/>
        <charset val="1"/>
      </rPr>
      <t xml:space="preserve">2    </t>
    </r>
    <r>
      <rPr>
        <sz val="8"/>
        <rFont val="Century Gothic"/>
        <family val="2"/>
        <charset val="1"/>
      </rPr>
      <t xml:space="preserve">Arrendado</t>
    </r>
  </si>
  <si>
    <r>
      <rPr>
        <b val="true"/>
        <sz val="8"/>
        <rFont val="Century Gothic"/>
        <family val="2"/>
        <charset val="1"/>
      </rPr>
      <t xml:space="preserve">2    </t>
    </r>
    <r>
      <rPr>
        <sz val="8"/>
        <rFont val="Century Gothic"/>
        <family val="2"/>
        <charset val="1"/>
      </rPr>
      <t xml:space="preserve">Aceptables</t>
    </r>
  </si>
  <si>
    <r>
      <rPr>
        <b val="true"/>
        <sz val="8"/>
        <rFont val="Century Gothic"/>
        <family val="2"/>
        <charset val="1"/>
      </rPr>
      <t xml:space="preserve">3</t>
    </r>
    <r>
      <rPr>
        <sz val="8"/>
        <rFont val="Century Gothic"/>
        <family val="2"/>
        <charset val="1"/>
      </rPr>
      <t xml:space="preserve">    Incompletos</t>
    </r>
  </si>
  <si>
    <r>
      <rPr>
        <b val="true"/>
        <sz val="8"/>
        <rFont val="Century Gothic"/>
        <family val="2"/>
        <charset val="1"/>
      </rPr>
      <t xml:space="preserve">3    </t>
    </r>
    <r>
      <rPr>
        <sz val="8"/>
        <rFont val="Century Gothic"/>
        <family val="2"/>
        <charset val="1"/>
      </rPr>
      <t xml:space="preserve">Ambulante</t>
    </r>
  </si>
  <si>
    <r>
      <rPr>
        <b val="true"/>
        <sz val="8"/>
        <rFont val="Century Gothic"/>
        <family val="2"/>
        <charset val="1"/>
      </rPr>
      <t xml:space="preserve">3    </t>
    </r>
    <r>
      <rPr>
        <sz val="8"/>
        <rFont val="Century Gothic"/>
        <family val="2"/>
        <charset val="1"/>
      </rPr>
      <t xml:space="preserve">No Aceptables</t>
    </r>
  </si>
  <si>
    <r>
      <rPr>
        <b val="true"/>
        <sz val="8"/>
        <rFont val="Century Gothic"/>
        <family val="2"/>
        <charset val="1"/>
      </rPr>
      <t xml:space="preserve">4    </t>
    </r>
    <r>
      <rPr>
        <sz val="8"/>
        <rFont val="Century Gothic"/>
        <family val="2"/>
        <charset val="1"/>
      </rPr>
      <t xml:space="preserve">Ninguno</t>
    </r>
  </si>
  <si>
    <t xml:space="preserve">PUNTAJE CARÁCTER</t>
  </si>
  <si>
    <t xml:space="preserve">PUNTAJE TOTAL COLATERAL</t>
  </si>
  <si>
    <t xml:space="preserve">PUNTAJE CAPACIDAD DE  GESTIÓN</t>
  </si>
  <si>
    <t xml:space="preserve">FECHA</t>
  </si>
  <si>
    <t xml:space="preserve">MOTIVO</t>
  </si>
  <si>
    <t xml:space="preserve">INCREMENTO DE OFICIALES DE NEGOCIOS</t>
  </si>
  <si>
    <t xml:space="preserve">N° socio</t>
  </si>
  <si>
    <t xml:space="preserve">Detalle el Sector     ( U = URBANO    o    R = RURAL )</t>
  </si>
  <si>
    <t xml:space="preserve">Detalle Garantía  ( R=REAL    P=PERSONAL    M=MIXTO )</t>
  </si>
  <si>
    <t xml:space="preserve">N° solicitud</t>
  </si>
  <si>
    <t xml:space="preserve">Parámetros               </t>
  </si>
  <si>
    <t xml:space="preserve">Calificación               </t>
  </si>
  <si>
    <t xml:space="preserve">%</t>
  </si>
  <si>
    <t xml:space="preserve">Total</t>
  </si>
  <si>
    <t xml:space="preserve">PUNTAJE TOTAL</t>
  </si>
  <si>
    <t xml:space="preserve">TOTAL GARANTIAS MIXTAS</t>
  </si>
  <si>
    <t xml:space="preserve">Nº</t>
  </si>
  <si>
    <t xml:space="preserve">OFICINA</t>
  </si>
  <si>
    <t xml:space="preserve">CÓDIGO</t>
  </si>
  <si>
    <t xml:space="preserve">CÓDIGO OFICIAL DE NEG.</t>
  </si>
  <si>
    <t xml:space="preserve">NOMBRES Y APELLIDOS</t>
  </si>
  <si>
    <t xml:space="preserve">TULCAN</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</si>
  <si>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</si>
  <si>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</si>
  <si>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</si>
  <si>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</si>
  <si>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</si>
  <si>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</si>
  <si>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</si>
  <si>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</si>
  <si>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</si>
  <si>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</si>
  <si>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</si>
  <si>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DISPONIBLE</t>
  </si>
  <si>
    <t xml:space="preserve">1-07</t>
  </si>
  <si>
    <t xml:space="preserve">FUENTES BOLAÑOS JENNIFFER JOHANNA</t>
  </si>
  <si>
    <t xml:space="preserve">1-08</t>
  </si>
  <si>
    <t xml:space="preserve">QUIÑONEZ MONTERO MARGOTH KATHERINE</t>
  </si>
  <si>
    <t xml:space="preserve">1-09</t>
  </si>
  <si>
    <t xml:space="preserve">NARVAEZ CARDENAS ELSSIE MABEL</t>
  </si>
  <si>
    <t xml:space="preserve">1-10</t>
  </si>
  <si>
    <t xml:space="preserve">RODRIGUEZ BUSTOS LUCIA GRACIELA</t>
  </si>
  <si>
    <t xml:space="preserve">1-11</t>
  </si>
  <si>
    <t xml:space="preserve">1-12</t>
  </si>
  <si>
    <t xml:space="preserve">1-13</t>
  </si>
  <si>
    <t xml:space="preserve">1-14</t>
  </si>
  <si>
    <t xml:space="preserve">DIAZ TUPE MILTON JAVIER</t>
  </si>
  <si>
    <t xml:space="preserve">1-15</t>
  </si>
  <si>
    <t xml:space="preserve">1-16</t>
  </si>
  <si>
    <t xml:space="preserve">SAN GABRIEL</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</si>
  <si>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</si>
  <si>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</si>
  <si>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</si>
  <si>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</si>
  <si>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</si>
  <si>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</si>
  <si>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</si>
  <si>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2-05</t>
  </si>
  <si>
    <t xml:space="preserve">MEJIA ROMERO PAULO DAVID</t>
  </si>
  <si>
    <t xml:space="preserve">2-06</t>
  </si>
  <si>
    <t xml:space="preserve">CHAMORRO ARTEAGA LUIS GEOVANNY</t>
  </si>
  <si>
    <t xml:space="preserve">BOLÍVAR</t>
  </si>
  <si>
    <t xml:space="preserve">3-01</t>
  </si>
  <si>
    <t xml:space="preserve">BOLAÑOS ROJAS EVELIN MARICELA</t>
  </si>
  <si>
    <t xml:space="preserve">3-02</t>
  </si>
  <si>
    <t xml:space="preserve">VALENZUELA COBA FERNANDA DE JESUS</t>
  </si>
  <si>
    <t xml:space="preserve">MIRA</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</si>
  <si>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</si>
  <si>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</si>
  <si>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</si>
  <si>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</si>
  <si>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</si>
  <si>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</si>
  <si>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</si>
  <si>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</si>
  <si>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</si>
  <si>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IBARRA</t>
  </si>
  <si>
    <t xml:space="preserve">5-01</t>
  </si>
  <si>
    <t xml:space="preserve">CUAMACAS POZO LAURA ELIZABETH</t>
  </si>
  <si>
    <t xml:space="preserve">5-02</t>
  </si>
  <si>
    <t xml:space="preserve">CHICAIZA YEPEZ VIVIANA  JAQUELINE</t>
  </si>
  <si>
    <t xml:space="preserve">5-03</t>
  </si>
  <si>
    <t xml:space="preserve">CHAMORRO PORTILLA ODALYS KARINA</t>
  </si>
  <si>
    <t xml:space="preserve">5-04</t>
  </si>
  <si>
    <t xml:space="preserve">MORILLO CARDENAS ANITA ELISABETH</t>
  </si>
  <si>
    <t xml:space="preserve">5-05</t>
  </si>
  <si>
    <t xml:space="preserve">TERAN ARREAGA LUIS ANTONIO</t>
  </si>
  <si>
    <t xml:space="preserve">5-06</t>
  </si>
  <si>
    <t xml:space="preserve">5-08</t>
  </si>
  <si>
    <t xml:space="preserve">ARAGON VALENCIA CARLOS ALEXANDER</t>
  </si>
  <si>
    <t xml:space="preserve">5-09</t>
  </si>
  <si>
    <t xml:space="preserve">6-01</t>
  </si>
  <si>
    <t xml:space="preserve">CASTRO RODRIGUEZ HAYDE XIMENA</t>
  </si>
  <si>
    <t xml:space="preserve">QUITO</t>
  </si>
  <si>
    <t xml:space="preserve">6-02</t>
  </si>
  <si>
    <t xml:space="preserve">DELGADO APUANGO PAULINA JACQUELINE</t>
  </si>
  <si>
    <t xml:space="preserve">6-03</t>
  </si>
  <si>
    <t xml:space="preserve">LOVATO ANGULO MARIA BELEN</t>
  </si>
  <si>
    <t xml:space="preserve">6-04</t>
  </si>
  <si>
    <t xml:space="preserve">MENDOZA NARVAEZ GISELLA GERMANIA</t>
  </si>
  <si>
    <t xml:space="preserve">6-05</t>
  </si>
  <si>
    <t xml:space="preserve">PAUCAR ESCOBAR EDITH SORAYA</t>
  </si>
  <si>
    <t xml:space="preserve">6-06</t>
  </si>
  <si>
    <t xml:space="preserve">LEON LASCANO VERONICA CRISTINA</t>
  </si>
  <si>
    <t xml:space="preserve">6-07</t>
  </si>
  <si>
    <t xml:space="preserve">JACOME BENITEZ WILSON ROLANDO</t>
  </si>
  <si>
    <t xml:space="preserve">6-08</t>
  </si>
  <si>
    <t xml:space="preserve">LOPEZ HERNANDEZ DAVID ANDRES</t>
  </si>
  <si>
    <t xml:space="preserve">6-09</t>
  </si>
  <si>
    <t xml:space="preserve">6-10</t>
  </si>
  <si>
    <t xml:space="preserve">RUANO FLORES ROSA VIRGINIA</t>
  </si>
  <si>
    <t xml:space="preserve">6-11</t>
  </si>
  <si>
    <t xml:space="preserve">ESPINOZA JARAMILLO MARIA EUGENIA</t>
  </si>
  <si>
    <t xml:space="preserve">LAGO AGRIO</t>
  </si>
  <si>
    <t xml:space="preserve">7-01</t>
  </si>
  <si>
    <t xml:space="preserve">BRAVO ORELLANA LILIANA ELIZABETH</t>
  </si>
  <si>
    <t xml:space="preserve">7-02</t>
  </si>
  <si>
    <t xml:space="preserve">MENDIETA VELEZ TANYI MARIA</t>
  </si>
  <si>
    <t xml:space="preserve">JARAMILLO JIMENEZ CARLOS ISRAEL</t>
  </si>
  <si>
    <t xml:space="preserve">7-04</t>
  </si>
  <si>
    <t xml:space="preserve">CHANGO CAMACHO MARCIA VERONICA</t>
  </si>
  <si>
    <t xml:space="preserve">IBARRA AMAZONAS</t>
  </si>
  <si>
    <t xml:space="preserve">8-01</t>
  </si>
  <si>
    <t xml:space="preserve">FIALLOS GRIJALVA BLANCA RUBY</t>
  </si>
  <si>
    <t xml:space="preserve">8-02</t>
  </si>
  <si>
    <t xml:space="preserve">HERNANDEZ CHACUA AURA SUSANA</t>
  </si>
  <si>
    <t xml:space="preserve">8-03</t>
  </si>
  <si>
    <t xml:space="preserve">ALBAN ARCOS SEBASTIAN LEONARDO</t>
  </si>
  <si>
    <t xml:space="preserve">8-04</t>
  </si>
  <si>
    <t xml:space="preserve">MORETA CACUANGO JUANA XIMENA</t>
  </si>
  <si>
    <t xml:space="preserve">8-05</t>
  </si>
  <si>
    <t xml:space="preserve">CRIOLLO SANDOVAL LUISA GIOCONDA</t>
  </si>
  <si>
    <t xml:space="preserve">8-06</t>
  </si>
  <si>
    <t xml:space="preserve">URCUANGO YACELGA JORGE IVAN</t>
  </si>
  <si>
    <t xml:space="preserve">8-07</t>
  </si>
  <si>
    <t xml:space="preserve">BOLAÑOS BASTIDAS PAUL ALEJANDRO</t>
  </si>
  <si>
    <t xml:space="preserve">8-08</t>
  </si>
  <si>
    <t xml:space="preserve">CONDOR TUTILLO MAYRA ALEJANDRA</t>
  </si>
  <si>
    <t xml:space="preserve">IBARRA MAYORISTA</t>
  </si>
  <si>
    <t xml:space="preserve">9-01</t>
  </si>
  <si>
    <t xml:space="preserve">MORILLO POZO IRENE PATRICIA</t>
  </si>
  <si>
    <t xml:space="preserve">9-02</t>
  </si>
  <si>
    <t xml:space="preserve">BOLAÑOS ITAS ESTEBAN FABRICIO</t>
  </si>
  <si>
    <t xml:space="preserve">ATUNTAQUI</t>
  </si>
  <si>
    <t xml:space="preserve">10-01</t>
  </si>
  <si>
    <t xml:space="preserve">ARTIEDA CHUMA KARINA GABRIELA</t>
  </si>
  <si>
    <t xml:space="preserve">10-02</t>
  </si>
  <si>
    <t xml:space="preserve">MONTALVO ENDARA MARCO  ANTONIO</t>
  </si>
  <si>
    <t xml:space="preserve">10-03</t>
  </si>
  <si>
    <t xml:space="preserve">MONTENEGRO LOPEZ KATHERINE FERNANDA</t>
  </si>
  <si>
    <t xml:space="preserve">10-04</t>
  </si>
  <si>
    <t xml:space="preserve">TERAN POSSO SILVIA VANESSA</t>
  </si>
  <si>
    <t xml:space="preserve">10-05</t>
  </si>
  <si>
    <t xml:space="preserve">IBADANGO SANCHEZ SONIA MARLENE</t>
  </si>
  <si>
    <t xml:space="preserve">OTAVALO</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</si>
  <si>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</si>
  <si>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</si>
  <si>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</si>
  <si>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</si>
  <si>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</si>
  <si>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</si>
  <si>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</si>
  <si>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</si>
  <si>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</si>
  <si>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</si>
  <si>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CAYAMBE</t>
  </si>
  <si>
    <t xml:space="preserve">12-01</t>
  </si>
  <si>
    <t xml:space="preserve">ROBLES ALMEIDA MIGUEL ANGEL</t>
  </si>
  <si>
    <t xml:space="preserve">12-02</t>
  </si>
  <si>
    <t xml:space="preserve">CEVALLOS HERRERA CESAR MAURICIO</t>
  </si>
  <si>
    <t xml:space="preserve">12-03</t>
  </si>
  <si>
    <t xml:space="preserve">DE LA CRUZ DELGADO JAJAIRA ELIZABETH</t>
  </si>
  <si>
    <t xml:space="preserve">12-04</t>
  </si>
  <si>
    <t xml:space="preserve">SANCHEZ CHINCHUÑA SHEYLA YADIRA</t>
  </si>
  <si>
    <t xml:space="preserve">GUAMANI</t>
  </si>
  <si>
    <t xml:space="preserve">13-01</t>
  </si>
  <si>
    <t xml:space="preserve">CLAVIJO MOREJON JADIRA PAULINA</t>
  </si>
  <si>
    <t xml:space="preserve">13-02</t>
  </si>
  <si>
    <t xml:space="preserve">JARAMILLO ERAZO CHRISTIAN XAVIER</t>
  </si>
  <si>
    <t xml:space="preserve">13-03</t>
  </si>
  <si>
    <t xml:space="preserve">VILLOTA MALDONADO JACKSON ANDRES</t>
  </si>
  <si>
    <t xml:space="preserve">13-04</t>
  </si>
  <si>
    <t xml:space="preserve">ANANGONO CAIZALUISA JONATHAN ADRIAN</t>
  </si>
  <si>
    <t xml:space="preserve">13-05</t>
  </si>
  <si>
    <t xml:space="preserve">TUMBACO</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</si>
  <si>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</si>
  <si>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</si>
  <si>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</si>
  <si>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</si>
  <si>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</si>
  <si>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</si>
  <si>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</si>
  <si>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</si>
  <si>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</si>
  <si>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</si>
  <si>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</si>
  <si>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</si>
  <si>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MERINO MENDOZA YESSENIA</t>
  </si>
  <si>
    <t xml:space="preserve">14-08</t>
  </si>
  <si>
    <t xml:space="preserve">ALMEIDA PIEDRA JOSSELIN FERNANDA</t>
  </si>
  <si>
    <t xml:space="preserve">14-09</t>
  </si>
  <si>
    <t xml:space="preserve">ROJAS JARAMILLO JEANETH MARIA</t>
  </si>
  <si>
    <t xml:space="preserve">TOTAL OFICIALES </t>
  </si>
  <si>
    <t xml:space="preserve">TIPO DE PRÉSTAMO</t>
  </si>
  <si>
    <t xml:space="preserve">1</t>
  </si>
  <si>
    <t xml:space="preserve">A EMPLEADOS Y DIRECTIVOS ORDINARIO</t>
  </si>
  <si>
    <t xml:space="preserve">A EMPLEADOS Y DIRECTIVOS ORDINARIO NOVADO REFINANCIADO REESTRUCTURADO</t>
  </si>
  <si>
    <t xml:space="preserve">2</t>
  </si>
  <si>
    <t xml:space="preserve">A PROFESIONALES DE LA CONSTRUCCION</t>
  </si>
  <si>
    <t xml:space="preserve">A PROFESIONALES DE LA CONSTRUCCION NOVADO REFINANCIADO REESTRUCTURADO</t>
  </si>
  <si>
    <t xml:space="preserve">3</t>
  </si>
  <si>
    <t xml:space="preserve">CREDITO EDUCATIVO</t>
  </si>
  <si>
    <t xml:space="preserve">CREDITO EDUCATIVO NOVADO REFINANCIADO REESTRUCTURADO</t>
  </si>
  <si>
    <t xml:space="preserve">ORDINARIO SIN GARANTE</t>
  </si>
  <si>
    <t xml:space="preserve">ORDINARIO SIN GARANTE NOVADO REFINANCIADO REESTRUCTURADO</t>
  </si>
  <si>
    <t xml:space="preserve">5</t>
  </si>
  <si>
    <t xml:space="preserve">ESPECIAL A INSTITUCIONES ORDINARIO</t>
  </si>
  <si>
    <t xml:space="preserve">ESPECIAL INSTITUCIONES ORDINARIO NOVADO REFINANCIADO REESTRUCTURADO</t>
  </si>
  <si>
    <t xml:space="preserve">6</t>
  </si>
  <si>
    <t xml:space="preserve">ESPECIAL INSTITUCIONES HIPOTECARIO</t>
  </si>
  <si>
    <t xml:space="preserve">ESPECIAL INSTITUCIONES HIPOTECARIO NOVADO REFINANCIADO REESTRUCTURADO</t>
  </si>
  <si>
    <t xml:space="preserve">7</t>
  </si>
  <si>
    <t xml:space="preserve">HIPOTECARIO</t>
  </si>
  <si>
    <t xml:space="preserve">HIPOTECARIO NOVADO REFINANCIADO REESTRUCTURADO</t>
  </si>
  <si>
    <t xml:space="preserve">8</t>
  </si>
  <si>
    <t xml:space="preserve">MICROCREDITO FOGEPS</t>
  </si>
  <si>
    <t xml:space="preserve">MICROCREDITO FOGEPS NOVADO REFINANCIADO REESTRUCTURADO</t>
  </si>
  <si>
    <t xml:space="preserve">9</t>
  </si>
  <si>
    <t xml:space="preserve">ORDINARIO</t>
  </si>
  <si>
    <t xml:space="preserve">ORDINARIO NOVADO REFINANCIADO REESTRUCTURADO</t>
  </si>
  <si>
    <t xml:space="preserve">10</t>
  </si>
  <si>
    <t xml:space="preserve">ESPECIAL A COMPAÑIAS DE TRANSPORTE HIPOTECARIO</t>
  </si>
  <si>
    <t xml:space="preserve">ESPECIAL A COMPAÑIAS DE TRANSPORTE HIPOTECARIO NOVADO REFINANCIADO REESTRUCTURADO</t>
  </si>
  <si>
    <t xml:space="preserve">11</t>
  </si>
  <si>
    <t xml:space="preserve">ESPECIAL A COMPAÑIAS DE TRANSPORTE MICRO</t>
  </si>
  <si>
    <t xml:space="preserve">ESPECIAL A COMPAÑIAS DE TRANSPORTE MICRO NOVADO REFINANCIADO REESTRUCTURADO</t>
  </si>
  <si>
    <t xml:space="preserve">12</t>
  </si>
  <si>
    <t xml:space="preserve">ESPECIAL A COMPAÑIAS DE TRANSPORTE CONSUMO</t>
  </si>
  <si>
    <t xml:space="preserve">ESPECIAL A COMPAÑIAS DE TRANSPORTE CONSUMO NOVADO REFINANCIADO REESTRUCTURADO</t>
  </si>
  <si>
    <t xml:space="preserve">13</t>
  </si>
  <si>
    <t xml:space="preserve">VIVIENDA PABLO MUÑOZ VEGA</t>
  </si>
  <si>
    <t xml:space="preserve">VIVIENDA PABLO MUÑOZ VEGA NOVADO REFINANCIADO REESTRUCTURADO</t>
  </si>
  <si>
    <t xml:space="preserve">14</t>
  </si>
  <si>
    <t xml:space="preserve">CRÉDITO VEHÍCULAR </t>
  </si>
  <si>
    <t xml:space="preserve">15</t>
  </si>
  <si>
    <t xml:space="preserve">CRÉDITO EMPRENDEDOR </t>
  </si>
  <si>
    <t xml:space="preserve">16</t>
  </si>
  <si>
    <t xml:space="preserve">CRÉDITO PRENDARIO</t>
  </si>
  <si>
    <t xml:space="preserve">17</t>
  </si>
  <si>
    <t xml:space="preserve">VIVIENDA MI CASA CONAFIPS</t>
  </si>
  <si>
    <t xml:space="preserve">17-01</t>
  </si>
  <si>
    <t xml:space="preserve">VIVIENDA MI CASA CONAFIPS NOVADO REFINANCIADO REESTRUCTURADO</t>
  </si>
  <si>
    <t xml:space="preserve">18</t>
  </si>
  <si>
    <t xml:space="preserve">FINANZAS POPULARES 1-10000</t>
  </si>
  <si>
    <t xml:space="preserve">19</t>
  </si>
  <si>
    <t xml:space="preserve">FINANZAS POPULARES 10001-20000</t>
  </si>
  <si>
    <t xml:space="preserve">20</t>
  </si>
  <si>
    <t xml:space="preserve">SIN GARANTE FINANZAS POPULARES 1 A 10000</t>
  </si>
  <si>
    <t xml:space="preserve">21</t>
  </si>
  <si>
    <t xml:space="preserve">SIN GARANTE FINANZAS POPULARES 10001 A 20000</t>
  </si>
  <si>
    <t xml:space="preserve">22</t>
  </si>
  <si>
    <t xml:space="preserve">HIPOTECARIO FINANZAS POPULARES 1 A 10000</t>
  </si>
  <si>
    <t xml:space="preserve">23</t>
  </si>
  <si>
    <t xml:space="preserve">HIPOTECARIO FINANZAS POPULARES 10001 A 20000</t>
  </si>
  <si>
    <t xml:space="preserve">24</t>
  </si>
  <si>
    <t xml:space="preserve">VIVIENDA BDE</t>
  </si>
  <si>
    <t xml:space="preserve">25</t>
  </si>
  <si>
    <t xml:space="preserve">MI PYME</t>
  </si>
  <si>
    <t xml:space="preserve">26</t>
  </si>
  <si>
    <t xml:space="preserve">MI PYME MUJER</t>
  </si>
  <si>
    <t xml:space="preserve">27</t>
  </si>
  <si>
    <t xml:space="preserve">CRÉDITO POST ORDINARIO</t>
  </si>
  <si>
    <t xml:space="preserve">28</t>
  </si>
  <si>
    <t xml:space="preserve">CRÉDITO POST HIPOTECARIO</t>
  </si>
  <si>
    <t xml:space="preserve">29</t>
  </si>
  <si>
    <t xml:space="preserve">CRÉDITO POST SIN GARANTE</t>
  </si>
  <si>
    <t xml:space="preserve">Cálculo del Seguro de Desgravamen</t>
  </si>
  <si>
    <t xml:space="preserve">CAPITAL</t>
  </si>
  <si>
    <t xml:space="preserve">INTERES</t>
  </si>
  <si>
    <t xml:space="preserve">PLAZO</t>
  </si>
  <si>
    <t xml:space="preserve">PAGO POR AÑO</t>
  </si>
  <si>
    <t xml:space="preserve">CUOTA FIJA</t>
  </si>
  <si>
    <t xml:space="preserve">FRECUENCIA</t>
  </si>
  <si>
    <t xml:space="preserve">INTERES MENSUAL</t>
  </si>
  <si>
    <t xml:space="preserve">VALOR TOTAL SEGURO</t>
  </si>
  <si>
    <t xml:space="preserve">INTERES DIARIO</t>
  </si>
  <si>
    <t xml:space="preserve">TASA NETA SEGURO</t>
  </si>
  <si>
    <t xml:space="preserve">CUOTA</t>
  </si>
  <si>
    <t xml:space="preserve">DIAS</t>
  </si>
  <si>
    <t xml:space="preserve">CUOTAFIJA</t>
  </si>
  <si>
    <t xml:space="preserve">CUOTA+ SEGURO</t>
  </si>
  <si>
    <t xml:space="preserve">SALDO</t>
  </si>
  <si>
    <t xml:space="preserve">Seguro </t>
  </si>
  <si>
    <t xml:space="preserve">Aporte Seps</t>
  </si>
  <si>
    <t xml:space="preserve">Seg. Campesivo</t>
  </si>
  <si>
    <t xml:space="preserve">Total seguro</t>
  </si>
  <si>
    <t xml:space="preserve">TIPO DE CARTERA</t>
  </si>
  <si>
    <t xml:space="preserve">PRODUCTIVO</t>
  </si>
  <si>
    <t xml:space="preserve">PRODUCTIVO REFINANCIADO</t>
  </si>
  <si>
    <t xml:space="preserve">PRODUCTIVO REESTRUCTURADO</t>
  </si>
  <si>
    <t xml:space="preserve">MICROCREDITO</t>
  </si>
  <si>
    <t xml:space="preserve">MICROCREDITO REFINANCIADO</t>
  </si>
  <si>
    <t xml:space="preserve">MICROCREDITO REESTRUCTURADO</t>
  </si>
  <si>
    <t xml:space="preserve">INMOBILIARIO</t>
  </si>
  <si>
    <t xml:space="preserve">INMOBILIARIO REFINANCIADO</t>
  </si>
  <si>
    <t xml:space="preserve">INMOBILIARIO REESTRUCTURADO</t>
  </si>
  <si>
    <t xml:space="preserve">CONSUMO </t>
  </si>
  <si>
    <t xml:space="preserve">CONSUMO REFINANCIADO</t>
  </si>
  <si>
    <t xml:space="preserve">CONSUMO REESTRUCTURADO</t>
  </si>
  <si>
    <t xml:space="preserve">EDUCATIVO</t>
  </si>
  <si>
    <t xml:space="preserve">EDUCATIVO REFINANCIADO</t>
  </si>
  <si>
    <t xml:space="preserve">EDUCATIVO REESTRUCTURADO</t>
  </si>
  <si>
    <t xml:space="preserve">SEGMENTOS DE CRÉDITO</t>
  </si>
  <si>
    <t xml:space="preserve">SEGMENTO / SUBSEGMENTO</t>
  </si>
  <si>
    <t xml:space="preserve">DESCRIPCIÓN</t>
  </si>
  <si>
    <t xml:space="preserve">PRODUCTIVO CORPORATIVO</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</si>
  <si>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7,000,000.00.</t>
    </r>
  </si>
  <si>
    <t xml:space="preserve">PRODUCTIVO EMPRESARIAL</t>
  </si>
  <si>
    <r>
      <rPr>
        <sz val="11"/>
        <rFont val="Calibri"/>
        <family val="2"/>
        <charset val="1"/>
      </rPr>
      <t xml:space="preserve">Son operaciones de crédito productivo otorgadas a personas naturales o personas jurídicas que registren ventas anuales superiores a</t>
    </r>
    <r>
      <rPr>
        <b val="true"/>
        <sz val="11"/>
        <rFont val="Calibri"/>
        <family val="2"/>
        <charset val="1"/>
      </rPr>
      <t xml:space="preserve"> USD 1,500,000.00 y hasta USD 7,000,000.00.</t>
    </r>
  </si>
  <si>
    <t xml:space="preserve">PRODUCTIVO PYMES</t>
  </si>
  <si>
    <r>
      <rPr>
        <sz val="11"/>
        <rFont val="Calibri"/>
        <family val="2"/>
        <charset val="1"/>
      </rPr>
      <t xml:space="preserve">Son operaciones de crédito productivo otorgadas a personas naturales o personas jurídicas que registren ventas anuales superiores a </t>
    </r>
    <r>
      <rPr>
        <b val="true"/>
        <sz val="11"/>
        <rFont val="Calibri"/>
        <family val="2"/>
        <charset val="1"/>
      </rPr>
      <t xml:space="preserve">USD 300,000.00 y hasta USD 1,500,000.00.</t>
    </r>
  </si>
  <si>
    <t xml:space="preserve">MICROCRÉDITO MINORISTA</t>
  </si>
  <si>
    <r>
      <rPr>
        <sz val="11"/>
        <rFont val="Calibri"/>
        <family val="2"/>
        <charset val="1"/>
      </rPr>
      <t xml:space="preserve">Operaciones otorgadas a solicitantes de crédito que registren ventas anuales iguales o inferiores a </t>
    </r>
    <r>
      <rPr>
        <b val="true"/>
        <sz val="11"/>
        <rFont val="Calibri"/>
        <family val="2"/>
        <charset val="1"/>
      </rPr>
      <t xml:space="preserve">USD 20,000.00.</t>
    </r>
  </si>
  <si>
    <t xml:space="preserve">MICROCRÉDITO ACUMULACIÓN SIMPLE</t>
  </si>
  <si>
    <r>
      <rPr>
        <sz val="11"/>
        <rFont val="Calibri"/>
        <family val="2"/>
        <charset val="1"/>
      </rPr>
      <t xml:space="preserve">Operaciones otorgadas a solicitantes de crédito que registren ventas anuales superiores a </t>
    </r>
    <r>
      <rPr>
        <b val="true"/>
        <sz val="11"/>
        <rFont val="Calibri"/>
        <family val="2"/>
        <charset val="1"/>
      </rPr>
      <t xml:space="preserve">USD 20.000,00</t>
    </r>
    <r>
      <rPr>
        <sz val="11"/>
        <rFont val="Calibri"/>
        <family val="2"/>
        <charset val="1"/>
      </rPr>
      <t xml:space="preserve"> y hasta</t>
    </r>
    <r>
      <rPr>
        <b val="true"/>
        <sz val="11"/>
        <rFont val="Calibri"/>
        <family val="2"/>
        <charset val="1"/>
      </rPr>
      <t xml:space="preserve"> USD 120.000,00.</t>
    </r>
  </si>
  <si>
    <t xml:space="preserve">MICROCRÉDITO ACUMULACIÓN AMPLIADA</t>
  </si>
  <si>
    <r>
      <rPr>
        <sz val="11"/>
        <rFont val="Calibri"/>
        <family val="2"/>
        <charset val="1"/>
      </rPr>
      <t xml:space="preserve">Operaciones otorgadas a solicitantes de crédito que registren ventas anuales superiores a </t>
    </r>
    <r>
      <rPr>
        <b val="true"/>
        <sz val="11"/>
        <rFont val="Calibri"/>
        <family val="2"/>
        <charset val="1"/>
      </rPr>
      <t xml:space="preserve">USD 120.000,00 y hasta USD 300.000,00.</t>
    </r>
  </si>
  <si>
    <t xml:space="preserve">3-0</t>
  </si>
  <si>
    <t xml:space="preserve">Son aquellas operaciones otorgadas con garantía hipotecaria a personas naturales para la construcción, reparación, remodelación y mejora de inmuebles propios; para la adquisición de terrenos destinados a la construcción de vivienda propia; y, para la adquisición de vivienda terminada para uso del deudor y su familia no categorizada en el segmento de crédito Vivienda de Interés Social y Público.</t>
  </si>
  <si>
    <t xml:space="preserve">CONSUMO</t>
  </si>
  <si>
    <t xml:space="preserve">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t>
  </si>
  <si>
    <t xml:space="preserve">5-0</t>
  </si>
  <si>
    <t xml:space="preserve">Son aquellas operaciones otorgadas a personas naturales para su formación y capacitación profesional o técnica y a personas juridicas para el financiamiento de formación y capacitación profesional o técnica de su talento humano en ambos casos la formación y capacitación deberá ser debidamente acreditada por los órganos competentes.</t>
  </si>
  <si>
    <t xml:space="preserve">CODIFICACIÓN DE LA OFICINA </t>
  </si>
  <si>
    <t xml:space="preserve">DE ACUERDO A LA CREACIÓN</t>
  </si>
  <si>
    <t xml:space="preserve">NRO.</t>
  </si>
  <si>
    <t xml:space="preserve">SAN GABRIEL </t>
  </si>
  <si>
    <t xml:space="preserve">BOLIVAR</t>
  </si>
  <si>
    <t xml:space="preserve">             </t>
  </si>
</sst>
</file>

<file path=xl/styles.xml><?xml version="1.0" encoding="utf-8"?>
<styleSheet xmlns="http://schemas.openxmlformats.org/spreadsheetml/2006/main">
  <numFmts count="17">
    <numFmt numFmtId="164" formatCode="General"/>
    <numFmt numFmtId="165" formatCode="@"/>
    <numFmt numFmtId="166" formatCode="General"/>
    <numFmt numFmtId="167" formatCode="0"/>
    <numFmt numFmtId="168" formatCode="#,##0"/>
    <numFmt numFmtId="169" formatCode="d\-mmm\-yyyy"/>
    <numFmt numFmtId="170" formatCode="&quot;$ &quot;#,##0.00"/>
    <numFmt numFmtId="171" formatCode="0\ %"/>
    <numFmt numFmtId="172" formatCode="0.00\ %"/>
    <numFmt numFmtId="173" formatCode="[$-F800]dddd&quot;, &quot;mmmm\ dd&quot;, &quot;yyyy"/>
    <numFmt numFmtId="174" formatCode="mmmm\ d&quot;, &quot;yyyy"/>
    <numFmt numFmtId="175" formatCode="[$-300A]dddd&quot;, &quot;dd&quot; de &quot;mmmm&quot; de &quot;yyyy;@"/>
    <numFmt numFmtId="176" formatCode="* #,##0.00\ ;\-* #,##0.00\ ;* \-#\ ;@\ "/>
    <numFmt numFmtId="177" formatCode="0.00"/>
    <numFmt numFmtId="178" formatCode="dd/mm/yyyy"/>
    <numFmt numFmtId="179" formatCode="0.000"/>
    <numFmt numFmtId="180" formatCode="0.00000"/>
  </numFmts>
  <fonts count="60">
    <font>
      <sz val="10"/>
      <name val="Arial"/>
      <family val="2"/>
      <charset val="1"/>
    </font>
    <font>
      <sz val="10"/>
      <name val="Arial"/>
      <family val="0"/>
    </font>
    <font>
      <sz val="10"/>
      <name val="Arial"/>
      <family val="0"/>
    </font>
    <font>
      <sz val="10"/>
      <name val="Arial"/>
      <family val="0"/>
    </font>
    <font>
      <sz val="16"/>
      <name val="Arial"/>
      <family val="2"/>
      <charset val="1"/>
    </font>
    <font>
      <sz val="16"/>
      <name val="Times New Roman"/>
      <family val="1"/>
      <charset val="1"/>
    </font>
    <font>
      <b val="true"/>
      <u val="single"/>
      <sz val="24"/>
      <name val="Arial Black"/>
      <family val="2"/>
      <charset val="1"/>
    </font>
    <font>
      <b val="true"/>
      <sz val="16"/>
      <name val="Arial"/>
      <family val="2"/>
      <charset val="1"/>
    </font>
    <font>
      <b val="true"/>
      <sz val="23"/>
      <color rgb="FF000000"/>
      <name val="Arial"/>
      <family val="2"/>
      <charset val="1"/>
    </font>
    <font>
      <b val="true"/>
      <sz val="16"/>
      <color rgb="FF0000FF"/>
      <name val="Arial"/>
      <family val="2"/>
      <charset val="1"/>
    </font>
    <font>
      <u val="single"/>
      <sz val="10"/>
      <color rgb="FF0563C1"/>
      <name val="Arial"/>
      <family val="2"/>
      <charset val="1"/>
    </font>
    <font>
      <b val="true"/>
      <sz val="18"/>
      <name val="Arial"/>
      <family val="2"/>
      <charset val="1"/>
    </font>
    <font>
      <b val="true"/>
      <sz val="24"/>
      <name val="Arial"/>
      <family val="2"/>
      <charset val="1"/>
    </font>
    <font>
      <b val="true"/>
      <sz val="24"/>
      <color rgb="FF000000"/>
      <name val="Arial"/>
      <family val="2"/>
      <charset val="1"/>
    </font>
    <font>
      <b val="true"/>
      <sz val="20"/>
      <color rgb="FF800000"/>
      <name val="Arial"/>
      <family val="2"/>
      <charset val="1"/>
    </font>
    <font>
      <b val="true"/>
      <sz val="20"/>
      <color rgb="FF000080"/>
      <name val="Arial"/>
      <family val="2"/>
      <charset val="1"/>
    </font>
    <font>
      <b val="true"/>
      <sz val="20"/>
      <color rgb="FF003366"/>
      <name val="Arial"/>
      <family val="2"/>
      <charset val="1"/>
    </font>
    <font>
      <b val="true"/>
      <sz val="16"/>
      <color rgb="FF000080"/>
      <name val="Arial"/>
      <family val="2"/>
      <charset val="1"/>
    </font>
    <font>
      <b val="true"/>
      <sz val="18"/>
      <color rgb="FF800000"/>
      <name val="Arial"/>
      <family val="2"/>
      <charset val="1"/>
    </font>
    <font>
      <b val="true"/>
      <sz val="18"/>
      <color rgb="FF000080"/>
      <name val="Arial"/>
      <family val="2"/>
      <charset val="1"/>
    </font>
    <font>
      <b val="true"/>
      <sz val="20"/>
      <name val="Arial"/>
      <family val="2"/>
      <charset val="1"/>
    </font>
    <font>
      <sz val="24"/>
      <color rgb="FF000000"/>
      <name val="Arial"/>
      <family val="2"/>
      <charset val="1"/>
    </font>
    <font>
      <sz val="24"/>
      <name val="Arial"/>
      <family val="2"/>
      <charset val="1"/>
    </font>
    <font>
      <b val="true"/>
      <sz val="24"/>
      <color rgb="FFFF0000"/>
      <name val="Arial"/>
      <family val="2"/>
      <charset val="1"/>
    </font>
    <font>
      <sz val="26"/>
      <color rgb="FF000000"/>
      <name val="Arial"/>
      <family val="2"/>
      <charset val="1"/>
    </font>
    <font>
      <b val="true"/>
      <u val="single"/>
      <sz val="24"/>
      <name val="Arial"/>
      <family val="2"/>
      <charset val="1"/>
    </font>
    <font>
      <sz val="10"/>
      <name val="Arial"/>
      <family val="2"/>
    </font>
    <font>
      <sz val="8"/>
      <name val="Century Gothic"/>
      <family val="2"/>
      <charset val="1"/>
    </font>
    <font>
      <b val="true"/>
      <sz val="8"/>
      <name val="Century Gothic"/>
      <family val="2"/>
      <charset val="1"/>
    </font>
    <font>
      <b val="true"/>
      <sz val="8"/>
      <color rgb="FFFF0000"/>
      <name val="Century Gothic"/>
      <family val="2"/>
      <charset val="1"/>
    </font>
    <font>
      <sz val="8"/>
      <name val="Lucida Casual"/>
      <family val="0"/>
      <charset val="1"/>
    </font>
    <font>
      <b val="true"/>
      <sz val="8"/>
      <name val="Lucida Casual"/>
      <family val="0"/>
      <charset val="1"/>
    </font>
    <font>
      <sz val="8"/>
      <name val="Arial"/>
      <family val="2"/>
      <charset val="1"/>
    </font>
    <font>
      <b val="true"/>
      <sz val="8"/>
      <name val="Lucida Casual"/>
      <family val="4"/>
      <charset val="1"/>
    </font>
    <font>
      <sz val="8"/>
      <name val="Lucida Casual"/>
      <family val="4"/>
      <charset val="1"/>
    </font>
    <font>
      <b val="true"/>
      <sz val="9"/>
      <name val="Lucida Casual"/>
      <family val="0"/>
      <charset val="1"/>
    </font>
    <font>
      <b val="true"/>
      <sz val="8"/>
      <name val="Arial"/>
      <family val="2"/>
      <charset val="1"/>
    </font>
    <font>
      <sz val="9"/>
      <name val="Lucida Casual"/>
      <family val="0"/>
      <charset val="1"/>
    </font>
    <font>
      <b val="true"/>
      <sz val="18"/>
      <name val="Lucida Casual"/>
      <family val="0"/>
      <charset val="1"/>
    </font>
    <font>
      <sz val="9"/>
      <name val="Century Gothic"/>
      <family val="2"/>
      <charset val="1"/>
    </font>
    <font>
      <sz val="10"/>
      <name val="Century Gothic"/>
      <family val="2"/>
      <charset val="1"/>
    </font>
    <font>
      <sz val="6.5"/>
      <name val="Century Gothic"/>
      <family val="2"/>
      <charset val="1"/>
    </font>
    <font>
      <sz val="8"/>
      <color rgb="FFFF0000"/>
      <name val="Century Gothic"/>
      <family val="2"/>
      <charset val="1"/>
    </font>
    <font>
      <b val="true"/>
      <sz val="8"/>
      <color rgb="FF00FF00"/>
      <name val="Century Gothic"/>
      <family val="2"/>
      <charset val="1"/>
    </font>
    <font>
      <b val="true"/>
      <sz val="8"/>
      <color rgb="FFFFFF00"/>
      <name val="Century Gothic"/>
      <family val="2"/>
      <charset val="1"/>
    </font>
    <font>
      <b val="true"/>
      <sz val="10"/>
      <name val="Arial"/>
      <family val="2"/>
      <charset val="1"/>
    </font>
    <font>
      <sz val="11"/>
      <name val="Arial"/>
      <family val="2"/>
      <charset val="1"/>
    </font>
    <font>
      <b val="true"/>
      <sz val="11"/>
      <color rgb="FF000000"/>
      <name val="Arial"/>
      <family val="2"/>
      <charset val="1"/>
    </font>
    <font>
      <sz val="11"/>
      <name val="Calibri"/>
      <family val="2"/>
      <charset val="1"/>
    </font>
    <font>
      <b val="true"/>
      <sz val="11"/>
      <name val="Calibri"/>
      <family val="2"/>
      <charset val="1"/>
    </font>
    <font>
      <sz val="10"/>
      <color rgb="FF000000"/>
      <name val="Arial"/>
      <family val="2"/>
      <charset val="1"/>
    </font>
    <font>
      <sz val="11"/>
      <color rgb="FF800080"/>
      <name val="Calibri"/>
      <family val="2"/>
      <charset val="1"/>
    </font>
    <font>
      <sz val="10"/>
      <color rgb="FF800080"/>
      <name val="Arial"/>
      <family val="2"/>
      <charset val="1"/>
    </font>
    <font>
      <b val="true"/>
      <sz val="11"/>
      <color rgb="FFFF0000"/>
      <name val="Calibri"/>
      <family val="2"/>
      <charset val="1"/>
    </font>
    <font>
      <b val="true"/>
      <sz val="11"/>
      <name val="Arial"/>
      <family val="2"/>
      <charset val="1"/>
    </font>
    <font>
      <b val="true"/>
      <sz val="11"/>
      <color rgb="FF000000"/>
      <name val="Calibri"/>
      <family val="2"/>
      <charset val="1"/>
    </font>
    <font>
      <sz val="9"/>
      <color rgb="FF000000"/>
      <name val="Tahoma"/>
      <family val="2"/>
      <charset val="1"/>
    </font>
    <font>
      <sz val="10"/>
      <name val="Calibri"/>
      <family val="2"/>
      <charset val="1"/>
    </font>
    <font>
      <b val="true"/>
      <sz val="12"/>
      <name val="Arial"/>
      <family val="2"/>
      <charset val="1"/>
    </font>
    <font>
      <b val="true"/>
      <sz val="12"/>
      <color rgb="FF000000"/>
      <name val="Calibri"/>
      <family val="2"/>
      <charset val="1"/>
    </font>
  </fonts>
  <fills count="15">
    <fill>
      <patternFill patternType="none"/>
    </fill>
    <fill>
      <patternFill patternType="gray125"/>
    </fill>
    <fill>
      <patternFill patternType="solid">
        <fgColor rgb="FFC0C0C0"/>
        <bgColor rgb="FFC9C9C9"/>
      </patternFill>
    </fill>
    <fill>
      <patternFill patternType="solid">
        <fgColor rgb="FFFFFF00"/>
        <bgColor rgb="FFFFE800"/>
      </patternFill>
    </fill>
    <fill>
      <patternFill patternType="solid">
        <fgColor rgb="FFC9C9C9"/>
        <bgColor rgb="FFC0C0C0"/>
      </patternFill>
    </fill>
    <fill>
      <patternFill patternType="solid">
        <fgColor rgb="FFFFFFFF"/>
        <bgColor rgb="FFFFFFCC"/>
      </patternFill>
    </fill>
    <fill>
      <patternFill patternType="solid">
        <fgColor rgb="FF99CCFF"/>
        <bgColor rgb="FFC0C0C0"/>
      </patternFill>
    </fill>
    <fill>
      <patternFill patternType="solid">
        <fgColor rgb="FF3366FF"/>
        <bgColor rgb="FF0563C1"/>
      </patternFill>
    </fill>
    <fill>
      <patternFill patternType="solid">
        <fgColor rgb="FFFFCC00"/>
        <bgColor rgb="FFFFC000"/>
      </patternFill>
    </fill>
    <fill>
      <patternFill patternType="solid">
        <fgColor rgb="FFCCFFFF"/>
        <bgColor rgb="FFCCFFFF"/>
      </patternFill>
    </fill>
    <fill>
      <patternFill patternType="solid">
        <fgColor rgb="FFFFC000"/>
        <bgColor rgb="FFFFCC00"/>
      </patternFill>
    </fill>
    <fill>
      <patternFill patternType="solid">
        <fgColor rgb="FFA6A6A6"/>
        <bgColor rgb="FFC0C0C0"/>
      </patternFill>
    </fill>
    <fill>
      <patternFill patternType="solid">
        <fgColor rgb="FFD9D9D9"/>
        <bgColor rgb="FFC9C9C9"/>
      </patternFill>
    </fill>
    <fill>
      <patternFill patternType="solid">
        <fgColor rgb="FFFFE800"/>
        <bgColor rgb="FFFFFF00"/>
      </patternFill>
    </fill>
    <fill>
      <patternFill patternType="solid">
        <fgColor rgb="FF00FF00"/>
        <bgColor rgb="FF33CCCC"/>
      </patternFill>
    </fill>
  </fills>
  <borders count="52">
    <border diagonalUp="false" diagonalDown="false">
      <left/>
      <right/>
      <top/>
      <bottom/>
      <diagonal/>
    </border>
    <border diagonalUp="false" diagonalDown="false">
      <left style="thick"/>
      <right/>
      <top/>
      <bottom/>
      <diagonal/>
    </border>
    <border diagonalUp="false" diagonalDown="false">
      <left/>
      <right/>
      <top/>
      <bottom style="thick"/>
      <diagonal/>
    </border>
    <border diagonalUp="false" diagonalDown="false">
      <left/>
      <right style="thick"/>
      <top/>
      <bottom/>
      <diagonal/>
    </border>
    <border diagonalUp="false" diagonalDown="false">
      <left style="thick"/>
      <right style="thick"/>
      <top style="thick"/>
      <bottom style="thin"/>
      <diagonal/>
    </border>
    <border diagonalUp="false" diagonalDown="false">
      <left/>
      <right/>
      <top style="thick"/>
      <bottom/>
      <diagonal/>
    </border>
    <border diagonalUp="false" diagonalDown="false">
      <left style="medium"/>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right/>
      <top style="thin"/>
      <bottom/>
      <diagonal/>
    </border>
    <border diagonalUp="false" diagonalDown="false">
      <left style="thin"/>
      <right style="medium"/>
      <top style="thin"/>
      <bottom style="thin"/>
      <diagonal/>
    </border>
    <border diagonalUp="false" diagonalDown="false">
      <left style="medium"/>
      <right style="thin"/>
      <top/>
      <bottom/>
      <diagonal/>
    </border>
    <border diagonalUp="false" diagonalDown="false">
      <left style="thin"/>
      <right style="thin"/>
      <top style="thin"/>
      <bottom/>
      <diagonal/>
    </border>
    <border diagonalUp="false" diagonalDown="false">
      <left style="medium"/>
      <right style="thin"/>
      <top style="thin"/>
      <botto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bottom style="medium"/>
      <diagonal/>
    </border>
    <border diagonalUp="false" diagonalDown="false">
      <left style="medium"/>
      <right style="medium"/>
      <top style="medium"/>
      <bottom style="medium"/>
      <diagonal/>
    </border>
    <border diagonalUp="false" diagonalDown="false">
      <left style="medium"/>
      <right style="medium"/>
      <top/>
      <bottom/>
      <diagonal/>
    </border>
    <border diagonalUp="false" diagonalDown="false">
      <left style="medium"/>
      <right style="medium"/>
      <top/>
      <bottom style="thin"/>
      <diagonal/>
    </border>
    <border diagonalUp="false" diagonalDown="false">
      <left/>
      <right style="medium"/>
      <top style="thin"/>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style="thin"/>
      <right/>
      <top/>
      <bottom style="thin"/>
      <diagonal/>
    </border>
    <border diagonalUp="false" diagonalDown="false">
      <left/>
      <right/>
      <top/>
      <bottom style="thin"/>
      <diagonal/>
    </border>
    <border diagonalUp="false" diagonalDown="false">
      <left style="thin"/>
      <right/>
      <top/>
      <bottom/>
      <diagonal/>
    </border>
    <border diagonalUp="false" diagonalDown="false">
      <left style="medium"/>
      <right/>
      <top style="thin"/>
      <bottom style="medium"/>
      <diagonal/>
    </border>
    <border diagonalUp="false" diagonalDown="false">
      <left/>
      <right/>
      <top style="thin"/>
      <bottom style="double"/>
      <diagonal/>
    </border>
    <border diagonalUp="false" diagonalDown="false">
      <left/>
      <right/>
      <top/>
      <bottom style="double"/>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top/>
      <bottom/>
      <diagonal/>
    </border>
    <border diagonalUp="false" diagonalDown="false">
      <left/>
      <right style="thin"/>
      <top/>
      <bottom style="thin"/>
      <diagonal/>
    </border>
    <border diagonalUp="false" diagonalDown="false">
      <left/>
      <right style="thin"/>
      <top style="thin"/>
      <bottom style="double"/>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top style="medium"/>
      <bottom style="thin"/>
      <diagonal/>
    </border>
    <border diagonalUp="false" diagonalDown="false">
      <left style="thin"/>
      <right style="medium"/>
      <top style="medium"/>
      <bottom style="thin"/>
      <diagonal/>
    </border>
    <border diagonalUp="false" diagonalDown="false">
      <left style="thin"/>
      <right style="medium"/>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3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true"/>
    </xf>
    <xf numFmtId="164" fontId="4" fillId="0" borderId="5" xfId="0" applyFont="true" applyBorder="true" applyAlignment="true" applyProtection="true">
      <alignment horizontal="general" vertical="bottom" textRotation="0" wrapText="fals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true"/>
    </xf>
    <xf numFmtId="164" fontId="7" fillId="2" borderId="7" xfId="0" applyFont="true" applyBorder="true" applyAlignment="true" applyProtection="true">
      <alignment horizontal="center" vertical="bottom" textRotation="0" wrapText="false" indent="0" shrinkToFit="false"/>
      <protection locked="true" hidden="true"/>
    </xf>
    <xf numFmtId="164" fontId="7" fillId="2" borderId="8" xfId="0" applyFont="true" applyBorder="true" applyAlignment="true" applyProtection="true">
      <alignment horizontal="center" vertical="bottom" textRotation="0" wrapText="false" indent="0" shrinkToFit="false"/>
      <protection locked="true" hidden="true"/>
    </xf>
    <xf numFmtId="164" fontId="7" fillId="2" borderId="9" xfId="0" applyFont="true" applyBorder="true" applyAlignment="true" applyProtection="true">
      <alignment horizontal="center" vertical="center" textRotation="90" wrapText="false" indent="0" shrinkToFit="false"/>
      <protection locked="true" hidden="true"/>
    </xf>
    <xf numFmtId="164" fontId="8" fillId="0" borderId="10" xfId="0" applyFont="true" applyBorder="true" applyAlignment="true" applyProtection="true">
      <alignment horizontal="center" vertical="center" textRotation="0" wrapText="true" indent="0" shrinkToFit="false"/>
      <protection locked="false" hidden="false"/>
    </xf>
    <xf numFmtId="164" fontId="7" fillId="2" borderId="8" xfId="0" applyFont="true" applyBorder="true" applyAlignment="true" applyProtection="true">
      <alignment horizontal="left" vertical="center" textRotation="0" wrapText="false" indent="0" shrinkToFit="false"/>
      <protection locked="true" hidden="true"/>
    </xf>
    <xf numFmtId="165" fontId="9" fillId="0" borderId="8" xfId="20" applyFont="true" applyBorder="true" applyAlignment="true" applyProtection="true">
      <alignment horizontal="center" vertical="center" textRotation="0" wrapText="false" indent="0" shrinkToFit="false"/>
      <protection locked="false" hidden="false"/>
    </xf>
    <xf numFmtId="166" fontId="11" fillId="0" borderId="11" xfId="0" applyFont="true" applyBorder="true" applyAlignment="true" applyProtection="true">
      <alignment horizontal="left" vertical="center" textRotation="0" wrapText="false" indent="0" shrinkToFit="false"/>
      <protection locked="true" hidden="true"/>
    </xf>
    <xf numFmtId="165" fontId="12" fillId="0" borderId="12" xfId="0" applyFont="true" applyBorder="true" applyAlignment="true" applyProtection="true">
      <alignment horizontal="center" vertical="center" textRotation="0" wrapText="false" indent="0" shrinkToFit="false"/>
      <protection locked="false" hidden="false"/>
    </xf>
    <xf numFmtId="165" fontId="13" fillId="0" borderId="8" xfId="0" applyFont="true" applyBorder="true" applyAlignment="true" applyProtection="true">
      <alignment horizontal="center" vertical="center" textRotation="0" wrapText="true" indent="0" shrinkToFit="false"/>
      <protection locked="false" hidden="false"/>
    </xf>
    <xf numFmtId="164" fontId="7" fillId="2" borderId="13" xfId="0" applyFont="true" applyBorder="true" applyAlignment="true" applyProtection="true">
      <alignment horizontal="left" vertical="center" textRotation="0" wrapText="false" indent="0" shrinkToFit="false"/>
      <protection locked="true" hidden="true"/>
    </xf>
    <xf numFmtId="165" fontId="7" fillId="0" borderId="8" xfId="0" applyFont="true" applyBorder="true" applyAlignment="true" applyProtection="true">
      <alignment horizontal="center" vertical="center" textRotation="0" wrapText="false" indent="0" shrinkToFit="false"/>
      <protection locked="false" hidden="false"/>
    </xf>
    <xf numFmtId="167" fontId="7" fillId="0" borderId="8" xfId="0" applyFont="true" applyBorder="true" applyAlignment="true" applyProtection="true">
      <alignment horizontal="center" vertical="center" textRotation="0" wrapText="false" indent="0" shrinkToFit="false"/>
      <protection locked="false" hidden="true"/>
    </xf>
    <xf numFmtId="164" fontId="4" fillId="0" borderId="0" xfId="0" applyFont="true" applyBorder="false" applyAlignment="true" applyProtection="true">
      <alignment horizontal="general" vertical="center" textRotation="0" wrapText="false" indent="0" shrinkToFit="false"/>
      <protection locked="true" hidden="false"/>
    </xf>
    <xf numFmtId="164" fontId="7" fillId="2" borderId="14" xfId="0" applyFont="true" applyBorder="true" applyAlignment="true" applyProtection="true">
      <alignment horizontal="center" vertical="center" textRotation="0" wrapText="false" indent="0" shrinkToFit="false"/>
      <protection locked="true" hidden="true"/>
    </xf>
    <xf numFmtId="164" fontId="7" fillId="2" borderId="8" xfId="0" applyFont="true" applyBorder="true" applyAlignment="true" applyProtection="true">
      <alignment horizontal="center" vertical="center" textRotation="0" wrapText="false" indent="0" shrinkToFit="false"/>
      <protection locked="true" hidden="true"/>
    </xf>
    <xf numFmtId="164" fontId="7" fillId="2" borderId="13" xfId="0" applyFont="true" applyBorder="true" applyAlignment="true" applyProtection="true">
      <alignment horizontal="center" vertical="center" textRotation="0" wrapText="false" indent="0" shrinkToFit="false"/>
      <protection locked="true" hidden="true"/>
    </xf>
    <xf numFmtId="164" fontId="7" fillId="0" borderId="8" xfId="0" applyFont="true" applyBorder="true" applyAlignment="true" applyProtection="true">
      <alignment horizontal="center" vertical="center" textRotation="0" wrapText="false" indent="0" shrinkToFit="false"/>
      <protection locked="false" hidden="false"/>
    </xf>
    <xf numFmtId="168" fontId="7" fillId="2" borderId="8" xfId="0" applyFont="true" applyBorder="true" applyAlignment="true" applyProtection="true">
      <alignment horizontal="center" vertical="center" textRotation="0" wrapText="false" indent="0" shrinkToFit="false"/>
      <protection locked="true" hidden="true"/>
    </xf>
    <xf numFmtId="169" fontId="7" fillId="2" borderId="8" xfId="0" applyFont="true" applyBorder="true" applyAlignment="true" applyProtection="true">
      <alignment horizontal="center" vertical="center" textRotation="0" wrapText="false" indent="0" shrinkToFit="false"/>
      <protection locked="true" hidden="true"/>
    </xf>
    <xf numFmtId="164" fontId="7" fillId="2" borderId="11" xfId="0" applyFont="true" applyBorder="true" applyAlignment="true" applyProtection="true">
      <alignment horizontal="center" vertical="center" textRotation="0" wrapText="false" indent="0" shrinkToFit="false"/>
      <protection locked="true" hidden="true"/>
    </xf>
    <xf numFmtId="165" fontId="4" fillId="0" borderId="0" xfId="0" applyFont="true" applyBorder="false" applyAlignment="true" applyProtection="true">
      <alignment horizontal="general" vertical="center" textRotation="0" wrapText="false" indent="0" shrinkToFit="false"/>
      <protection locked="true" hidden="false"/>
    </xf>
    <xf numFmtId="170" fontId="14" fillId="0" borderId="15" xfId="0" applyFont="true" applyBorder="true" applyAlignment="true" applyProtection="true">
      <alignment horizontal="center" vertical="center" textRotation="0" wrapText="false" indent="0" shrinkToFit="false"/>
      <protection locked="false" hidden="false"/>
    </xf>
    <xf numFmtId="172" fontId="15" fillId="0" borderId="8" xfId="19" applyFont="true" applyBorder="true" applyAlignment="true" applyProtection="true">
      <alignment horizontal="center" vertical="center" textRotation="0" wrapText="false" indent="0" shrinkToFit="false"/>
      <protection locked="false" hidden="false"/>
    </xf>
    <xf numFmtId="164" fontId="16" fillId="0" borderId="8" xfId="0" applyFont="true" applyBorder="true" applyAlignment="true" applyProtection="true">
      <alignment horizontal="center" vertical="center" textRotation="0" wrapText="false" indent="0" shrinkToFit="false"/>
      <protection locked="false" hidden="false"/>
    </xf>
    <xf numFmtId="166" fontId="17" fillId="0" borderId="8" xfId="0" applyFont="true" applyBorder="true" applyAlignment="true" applyProtection="true">
      <alignment horizontal="center" vertical="center" textRotation="0" wrapText="false" indent="0" shrinkToFit="false"/>
      <protection locked="true" hidden="true"/>
    </xf>
    <xf numFmtId="170" fontId="18" fillId="0" borderId="8" xfId="0" applyFont="true" applyBorder="true" applyAlignment="true" applyProtection="true">
      <alignment horizontal="center" vertical="center" textRotation="0" wrapText="false" indent="0" shrinkToFit="false"/>
      <protection locked="true" hidden="true"/>
    </xf>
    <xf numFmtId="170" fontId="19" fillId="0" borderId="8" xfId="0" applyFont="true" applyBorder="true" applyAlignment="true" applyProtection="true">
      <alignment horizontal="center" vertical="center" textRotation="0" wrapText="false" indent="0" shrinkToFit="false"/>
      <protection locked="true" hidden="true"/>
    </xf>
    <xf numFmtId="165" fontId="7" fillId="0" borderId="8" xfId="0" applyFont="true" applyBorder="true" applyAlignment="true" applyProtection="true">
      <alignment horizontal="center" vertical="center" textRotation="0" wrapText="false" indent="0" shrinkToFit="false"/>
      <protection locked="false" hidden="true"/>
    </xf>
    <xf numFmtId="166" fontId="11" fillId="0" borderId="8" xfId="0" applyFont="true" applyBorder="true" applyAlignment="true" applyProtection="true">
      <alignment horizontal="general" vertical="center" textRotation="0" wrapText="false" indent="0" shrinkToFit="false"/>
      <protection locked="true" hidden="true"/>
    </xf>
    <xf numFmtId="173" fontId="19" fillId="0" borderId="11" xfId="0" applyFont="true" applyBorder="true" applyAlignment="true" applyProtection="true">
      <alignment horizontal="center" vertical="center" textRotation="0" wrapText="false" indent="0" shrinkToFit="false"/>
      <protection locked="false" hidden="true"/>
    </xf>
    <xf numFmtId="164" fontId="7" fillId="2" borderId="15" xfId="0" applyFont="true" applyBorder="true" applyAlignment="true" applyProtection="true">
      <alignment horizontal="center" vertical="bottom" textRotation="0" wrapText="false" indent="0" shrinkToFit="false"/>
      <protection locked="true" hidden="false"/>
    </xf>
    <xf numFmtId="164" fontId="7" fillId="2" borderId="16" xfId="0" applyFont="true" applyBorder="true" applyAlignment="true" applyProtection="true">
      <alignment horizontal="center" vertical="center" textRotation="0" wrapText="false" indent="0" shrinkToFit="false"/>
      <protection locked="true" hidden="false"/>
    </xf>
    <xf numFmtId="165" fontId="11" fillId="0" borderId="17" xfId="0" applyFont="true" applyBorder="true" applyAlignment="true" applyProtection="true">
      <alignment horizontal="center" vertical="center" textRotation="0" wrapText="false" indent="0" shrinkToFit="false"/>
      <protection locked="false" hidden="false"/>
    </xf>
    <xf numFmtId="166" fontId="11" fillId="0" borderId="18" xfId="0" applyFont="true" applyBorder="true" applyAlignment="true" applyProtection="true">
      <alignment horizontal="center" vertical="center" textRotation="0" wrapText="false" indent="0" shrinkToFit="false"/>
      <protection locked="true" hidden="true"/>
    </xf>
    <xf numFmtId="166" fontId="20" fillId="0" borderId="19" xfId="0" applyFont="true" applyBorder="true" applyAlignment="true" applyProtection="true">
      <alignment horizontal="center" vertical="center" textRotation="0" wrapText="false" indent="0" shrinkToFit="false"/>
      <protection locked="true" hidden="false"/>
    </xf>
    <xf numFmtId="164" fontId="20" fillId="3" borderId="20" xfId="0" applyFont="true" applyBorder="true" applyAlignment="true" applyProtection="true">
      <alignment horizontal="center" vertical="bottom" textRotation="0" wrapText="false" indent="0" shrinkToFit="false"/>
      <protection locked="true" hidden="true"/>
    </xf>
    <xf numFmtId="164" fontId="21" fillId="0" borderId="21" xfId="0" applyFont="true" applyBorder="true" applyAlignment="true" applyProtection="true">
      <alignment horizontal="left" vertical="top" textRotation="0" wrapText="true" indent="0" shrinkToFit="false"/>
      <protection locked="false" hidden="false"/>
    </xf>
    <xf numFmtId="164" fontId="21" fillId="0" borderId="21" xfId="0" applyFont="true" applyBorder="true" applyAlignment="true" applyProtection="true">
      <alignment horizontal="general" vertical="top" textRotation="0" wrapText="true" indent="0" shrinkToFit="false"/>
      <protection locked="false" hidden="false"/>
    </xf>
    <xf numFmtId="164" fontId="22" fillId="0" borderId="21" xfId="0" applyFont="true" applyBorder="true" applyAlignment="true" applyProtection="true">
      <alignment horizontal="general" vertical="top" textRotation="0" wrapText="true" indent="0" shrinkToFit="false"/>
      <protection locked="false" hidden="false"/>
    </xf>
    <xf numFmtId="164" fontId="24" fillId="0" borderId="21" xfId="0" applyFont="true" applyBorder="true" applyAlignment="true" applyProtection="true">
      <alignment horizontal="general" vertical="top" textRotation="0" wrapText="true" indent="0" shrinkToFit="false"/>
      <protection locked="false" hidden="false"/>
    </xf>
    <xf numFmtId="164" fontId="22" fillId="0" borderId="22" xfId="0" applyFont="true" applyBorder="true" applyAlignment="true" applyProtection="true">
      <alignment horizontal="left" vertical="top" textRotation="0" wrapText="true" indent="0" shrinkToFit="false"/>
      <protection locked="false" hidden="false"/>
    </xf>
    <xf numFmtId="164" fontId="12" fillId="0" borderId="7" xfId="0" applyFont="true" applyBorder="true" applyAlignment="true" applyProtection="true">
      <alignment horizontal="left" vertical="top" textRotation="0" wrapText="true" indent="0" shrinkToFit="false"/>
      <protection locked="false" hidden="false"/>
    </xf>
    <xf numFmtId="164" fontId="4" fillId="0" borderId="23" xfId="0" applyFont="true" applyBorder="true" applyAlignment="true" applyProtection="true">
      <alignment horizontal="center" vertical="center" textRotation="0" wrapText="false" indent="0" shrinkToFit="false"/>
      <protection locked="false" hidden="false"/>
    </xf>
    <xf numFmtId="174" fontId="11" fillId="2" borderId="23" xfId="0" applyFont="true" applyBorder="true" applyAlignment="true" applyProtection="true">
      <alignment horizontal="center" vertical="center" textRotation="0" wrapText="false" indent="0" shrinkToFit="false"/>
      <protection locked="true" hidden="true"/>
    </xf>
    <xf numFmtId="175" fontId="7" fillId="0" borderId="23" xfId="0" applyFont="true" applyBorder="true" applyAlignment="true" applyProtection="true">
      <alignment horizontal="center" vertical="center" textRotation="0" wrapText="false" indent="0" shrinkToFit="false"/>
      <protection locked="true" hidden="true"/>
    </xf>
    <xf numFmtId="164" fontId="25" fillId="2" borderId="7" xfId="0" applyFont="true" applyBorder="true" applyAlignment="true" applyProtection="true">
      <alignment horizontal="center" vertical="center" textRotation="0" wrapText="false" indent="0" shrinkToFit="false"/>
      <protection locked="true" hidden="true"/>
    </xf>
    <xf numFmtId="164" fontId="11" fillId="4" borderId="24" xfId="0" applyFont="true" applyBorder="true" applyAlignment="true" applyProtection="true">
      <alignment horizontal="general" vertical="center" textRotation="0" wrapText="true" indent="0" shrinkToFit="false"/>
      <protection locked="false" hidden="false"/>
    </xf>
    <xf numFmtId="164" fontId="4" fillId="0" borderId="25" xfId="0" applyFont="true" applyBorder="true" applyAlignment="true" applyProtection="true">
      <alignment horizontal="general" vertical="bottom" textRotation="0" wrapText="false" indent="0" shrinkToFit="false"/>
      <protection locked="false" hidden="false"/>
    </xf>
    <xf numFmtId="164" fontId="4" fillId="0" borderId="10" xfId="0" applyFont="true" applyBorder="true" applyAlignment="true" applyProtection="true">
      <alignment horizontal="general" vertical="bottom" textRotation="0" wrapText="false" indent="0" shrinkToFit="false"/>
      <protection locked="false" hidden="false"/>
    </xf>
    <xf numFmtId="164" fontId="4" fillId="0" borderId="26" xfId="0" applyFont="true" applyBorder="true" applyAlignment="true" applyProtection="true">
      <alignment horizontal="general" vertical="bottom" textRotation="0" wrapText="false" indent="0" shrinkToFit="false"/>
      <protection locked="false" hidden="false"/>
    </xf>
    <xf numFmtId="164" fontId="4" fillId="0" borderId="27" xfId="0" applyFont="true" applyBorder="true" applyAlignment="true" applyProtection="true">
      <alignment horizontal="general" vertical="bottom" textRotation="0" wrapText="false" indent="0" shrinkToFit="false"/>
      <protection locked="false" hidden="false"/>
    </xf>
    <xf numFmtId="164" fontId="7" fillId="0" borderId="28" xfId="0" applyFont="true" applyBorder="true" applyAlignment="true" applyProtection="true">
      <alignment horizontal="right" vertical="center" textRotation="0" wrapText="false" indent="0" shrinkToFit="false"/>
      <protection locked="true" hidden="true"/>
    </xf>
    <xf numFmtId="164" fontId="7" fillId="0" borderId="29" xfId="0" applyFont="true" applyBorder="true" applyAlignment="true" applyProtection="true">
      <alignment horizontal="general" vertical="bottom" textRotation="0" wrapText="false" indent="0" shrinkToFit="false"/>
      <protection locked="false" hidden="false"/>
    </xf>
    <xf numFmtId="164" fontId="4" fillId="0" borderId="30" xfId="0" applyFont="true" applyBorder="true" applyAlignment="true" applyProtection="true">
      <alignment horizontal="general" vertical="bottom" textRotation="0" wrapText="false" indent="0" shrinkToFit="false"/>
      <protection locked="true" hidden="true"/>
    </xf>
    <xf numFmtId="164" fontId="7" fillId="0" borderId="30" xfId="0" applyFont="true" applyBorder="true" applyAlignment="true" applyProtection="true">
      <alignment horizontal="general" vertical="bottom" textRotation="0" wrapText="false" indent="0" shrinkToFit="false"/>
      <protection locked="false" hidden="false"/>
    </xf>
    <xf numFmtId="164" fontId="4" fillId="0" borderId="30" xfId="0" applyFont="true" applyBorder="true" applyAlignment="true" applyProtection="true">
      <alignment horizontal="general" vertical="bottom" textRotation="0" wrapText="false" indent="0" shrinkToFit="false"/>
      <protection locked="false" hidden="false"/>
    </xf>
    <xf numFmtId="164" fontId="4" fillId="0" borderId="24" xfId="0" applyFont="true" applyBorder="true" applyAlignment="true" applyProtection="true">
      <alignment horizontal="general" vertical="bottom" textRotation="0" wrapText="false" indent="0" shrinkToFit="false"/>
      <protection locked="false" hidden="false"/>
    </xf>
    <xf numFmtId="164" fontId="4" fillId="0" borderId="29" xfId="0" applyFont="true" applyBorder="true" applyAlignment="true" applyProtection="true">
      <alignment horizontal="center" vertical="bottom" textRotation="0" wrapText="false" indent="0" shrinkToFit="false"/>
      <protection locked="false" hidden="false"/>
    </xf>
    <xf numFmtId="164" fontId="4" fillId="0" borderId="30" xfId="0" applyFont="true" applyBorder="true" applyAlignment="true" applyProtection="true">
      <alignment horizontal="center" vertical="bottom" textRotation="0" wrapText="false" indent="0" shrinkToFit="false"/>
      <protection locked="false" hidden="false"/>
    </xf>
    <xf numFmtId="164" fontId="4" fillId="0" borderId="28" xfId="0" applyFont="true" applyBorder="true" applyAlignment="true" applyProtection="true">
      <alignment horizontal="general" vertical="bottom" textRotation="0" wrapText="false" indent="0" shrinkToFit="false"/>
      <protection locked="true" hidden="false"/>
    </xf>
    <xf numFmtId="164" fontId="7" fillId="0" borderId="7" xfId="0" applyFont="true" applyBorder="true" applyAlignment="true" applyProtection="true">
      <alignment horizontal="center" vertical="center" textRotation="0" wrapText="false" indent="0" shrinkToFit="false"/>
      <protection locked="false" hidden="false"/>
    </xf>
    <xf numFmtId="164" fontId="4" fillId="0" borderId="31" xfId="0" applyFont="true" applyBorder="tru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7" fillId="0" borderId="15" xfId="0" applyFont="true" applyBorder="true" applyAlignment="true" applyProtection="true">
      <alignment horizontal="center" vertical="bottom" textRotation="0" wrapText="false" indent="0" shrinkToFit="false"/>
      <protection locked="true" hidden="true"/>
    </xf>
    <xf numFmtId="164" fontId="7" fillId="0" borderId="8" xfId="0" applyFont="true" applyBorder="true" applyAlignment="true" applyProtection="true">
      <alignment horizontal="center" vertical="bottom" textRotation="0" wrapText="false" indent="0" shrinkToFit="false"/>
      <protection locked="true" hidden="true"/>
    </xf>
    <xf numFmtId="164" fontId="7" fillId="0" borderId="11" xfId="0" applyFont="true" applyBorder="true" applyAlignment="true" applyProtection="true">
      <alignment horizontal="center" vertical="bottom" textRotation="0" wrapText="false" indent="0" shrinkToFit="false"/>
      <protection locked="false" hidden="false"/>
    </xf>
    <xf numFmtId="164" fontId="4" fillId="0" borderId="23" xfId="0" applyFont="true" applyBorder="true" applyAlignment="true" applyProtection="true">
      <alignment horizontal="general" vertical="bottom" textRotation="0" wrapText="false" indent="0" shrinkToFit="false"/>
      <protection locked="false" hidden="false"/>
    </xf>
    <xf numFmtId="164" fontId="7" fillId="0" borderId="8" xfId="0" applyFont="true" applyBorder="true" applyAlignment="true" applyProtection="true">
      <alignment horizontal="center" vertical="bottom" textRotation="0" wrapText="false" indent="0" shrinkToFit="false"/>
      <protection locked="false" hidden="false"/>
    </xf>
    <xf numFmtId="164" fontId="25" fillId="2" borderId="22" xfId="0" applyFont="true" applyBorder="true" applyAlignment="true" applyProtection="true">
      <alignment horizontal="center" vertical="center" textRotation="0" wrapText="false" indent="0" shrinkToFit="false"/>
      <protection locked="true" hidden="true"/>
    </xf>
    <xf numFmtId="164" fontId="4" fillId="0" borderId="28" xfId="0" applyFont="true" applyBorder="true" applyAlignment="true" applyProtection="true">
      <alignment horizontal="general" vertical="bottom" textRotation="0" wrapText="false" indent="0" shrinkToFit="false"/>
      <protection locked="false" hidden="false"/>
    </xf>
    <xf numFmtId="164" fontId="7" fillId="0" borderId="14" xfId="0" applyFont="true" applyBorder="true" applyAlignment="true" applyProtection="true">
      <alignment horizontal="center" vertical="center" textRotation="0" wrapText="false" indent="0" shrinkToFit="false"/>
      <protection locked="false" hidden="false"/>
    </xf>
    <xf numFmtId="164" fontId="7" fillId="0" borderId="32" xfId="0" applyFont="true" applyBorder="true" applyAlignment="true" applyProtection="true">
      <alignment horizontal="center" vertical="bottom" textRotation="0" wrapText="false" indent="0" shrinkToFit="false"/>
      <protection locked="true" hidden="true"/>
    </xf>
    <xf numFmtId="164" fontId="7" fillId="0" borderId="18" xfId="0" applyFont="true" applyBorder="true" applyAlignment="true" applyProtection="true">
      <alignment horizontal="center" vertical="bottom" textRotation="0" wrapText="false" indent="0" shrinkToFit="false"/>
      <protection locked="true" hidden="true"/>
    </xf>
    <xf numFmtId="164" fontId="7" fillId="0" borderId="18" xfId="0" applyFont="true" applyBorder="true" applyAlignment="true" applyProtection="true">
      <alignment horizontal="center" vertical="bottom" textRotation="0" wrapText="false" indent="0" shrinkToFit="false"/>
      <protection locked="fals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76" fontId="27" fillId="0" borderId="0" xfId="15" applyFont="true" applyBorder="true" applyAlignment="true" applyProtection="true">
      <alignment horizontal="general" vertical="bottom" textRotation="0" wrapText="false" indent="0" shrinkToFit="false"/>
      <protection locked="true" hidden="false"/>
    </xf>
    <xf numFmtId="164" fontId="28" fillId="0" borderId="8" xfId="0" applyFont="true" applyBorder="true" applyAlignment="true" applyProtection="true">
      <alignment horizontal="center" vertical="center"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protection locked="true" hidden="false"/>
    </xf>
    <xf numFmtId="176" fontId="29" fillId="0" borderId="0" xfId="15" applyFont="true" applyBorder="true" applyAlignment="true" applyProtection="true">
      <alignment horizontal="center" vertical="bottom" textRotation="0" wrapText="true" indent="0" shrinkToFit="false"/>
      <protection locked="true" hidden="false"/>
    </xf>
    <xf numFmtId="164" fontId="27" fillId="0" borderId="8" xfId="0" applyFont="true" applyBorder="true" applyAlignment="true" applyProtection="true">
      <alignment horizontal="left" vertical="bottom" textRotation="0" wrapText="false" indent="3" shrinkToFit="false"/>
      <protection locked="true" hidden="false"/>
    </xf>
    <xf numFmtId="176" fontId="27" fillId="0" borderId="8" xfId="15" applyFont="true" applyBorder="true" applyAlignment="true" applyProtection="true">
      <alignment horizontal="general" vertical="bottom" textRotation="0" wrapText="false" indent="0" shrinkToFit="false"/>
      <protection locked="false" hidden="false"/>
    </xf>
    <xf numFmtId="164" fontId="30" fillId="0" borderId="8" xfId="0" applyFont="true" applyBorder="tru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left" vertical="bottom" textRotation="0" wrapText="false" indent="3" shrinkToFit="false"/>
      <protection locked="true" hidden="false"/>
    </xf>
    <xf numFmtId="176" fontId="28" fillId="3" borderId="33" xfId="15" applyFont="true" applyBorder="true" applyAlignment="true" applyProtection="true">
      <alignment horizontal="general" vertical="bottom" textRotation="0" wrapText="false" indent="0" shrinkToFit="false"/>
      <protection locked="true" hidden="false"/>
    </xf>
    <xf numFmtId="176" fontId="27" fillId="5" borderId="8" xfId="15" applyFont="true" applyBorder="true" applyAlignment="true" applyProtection="true">
      <alignment horizontal="general" vertical="bottom" textRotation="0" wrapText="false" indent="0" shrinkToFit="false"/>
      <protection locked="true" hidden="false"/>
    </xf>
    <xf numFmtId="176" fontId="27" fillId="0" borderId="8" xfId="15" applyFont="true" applyBorder="true" applyAlignment="true" applyProtection="true">
      <alignment horizontal="general" vertical="bottom" textRotation="0" wrapText="false" indent="0" shrinkToFit="false"/>
      <protection locked="true" hidden="false"/>
    </xf>
    <xf numFmtId="176" fontId="28" fillId="3" borderId="34" xfId="15" applyFont="true" applyBorder="true" applyAlignment="true" applyProtection="true">
      <alignment horizontal="general" vertical="bottom" textRotation="0" wrapText="false" indent="0" shrinkToFit="false"/>
      <protection locked="true" hidden="false"/>
    </xf>
    <xf numFmtId="164" fontId="31" fillId="0" borderId="8" xfId="0" applyFont="true" applyBorder="true" applyAlignment="true" applyProtection="true">
      <alignment horizontal="general" vertical="bottom" textRotation="0" wrapText="false" indent="0" shrinkToFit="false"/>
      <protection locked="true" hidden="false"/>
    </xf>
    <xf numFmtId="164" fontId="32" fillId="0" borderId="8" xfId="0" applyFont="true" applyBorder="true" applyAlignment="true" applyProtection="true">
      <alignment horizontal="general" vertical="bottom" textRotation="0" wrapText="false" indent="0" shrinkToFit="false"/>
      <protection locked="true" hidden="true"/>
    </xf>
    <xf numFmtId="176" fontId="28" fillId="0" borderId="0" xfId="15" applyFont="tru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2" shrinkToFit="false"/>
      <protection locked="true" hidden="false"/>
    </xf>
    <xf numFmtId="176" fontId="28" fillId="3" borderId="0" xfId="15" applyFont="true" applyBorder="true" applyAlignment="true" applyProtection="true">
      <alignment horizontal="general" vertical="bottom" textRotation="0" wrapText="false" indent="0" shrinkToFit="false"/>
      <protection locked="true" hidden="false"/>
    </xf>
    <xf numFmtId="164" fontId="27" fillId="0" borderId="8" xfId="0" applyFont="true" applyBorder="true" applyAlignment="true" applyProtection="true">
      <alignment horizontal="general" vertical="bottom" textRotation="0" wrapText="false" indent="0" shrinkToFit="false"/>
      <protection locked="true" hidden="false"/>
    </xf>
    <xf numFmtId="164" fontId="33" fillId="6" borderId="8" xfId="0" applyFont="true" applyBorder="true" applyAlignment="true" applyProtection="true">
      <alignment horizontal="general"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3" fillId="0" borderId="13" xfId="0" applyFont="true" applyBorder="true" applyAlignment="true" applyProtection="true">
      <alignment horizontal="general" vertical="bottom" textRotation="0" wrapText="false" indent="0" shrinkToFit="false"/>
      <protection locked="true" hidden="false"/>
    </xf>
    <xf numFmtId="164" fontId="35" fillId="0" borderId="35" xfId="0" applyFont="true" applyBorder="true" applyAlignment="true" applyProtection="true">
      <alignment horizontal="left" vertical="bottom" textRotation="0" wrapText="false" indent="2" shrinkToFit="false"/>
      <protection locked="true" hidden="false"/>
    </xf>
    <xf numFmtId="176" fontId="27" fillId="2" borderId="8" xfId="15" applyFont="true" applyBorder="true" applyAlignment="true" applyProtection="true">
      <alignment horizontal="general" vertical="bottom" textRotation="0" wrapText="false" indent="0" shrinkToFit="false"/>
      <protection locked="true" hidden="false"/>
    </xf>
    <xf numFmtId="164" fontId="31" fillId="0" borderId="35" xfId="0" applyFont="true" applyBorder="true" applyAlignment="true" applyProtection="true">
      <alignment horizontal="left" vertical="bottom" textRotation="0" wrapText="false" indent="2" shrinkToFit="false"/>
      <protection locked="true" hidden="false"/>
    </xf>
    <xf numFmtId="164" fontId="36" fillId="0" borderId="35" xfId="0" applyFont="true" applyBorder="true" applyAlignment="true" applyProtection="true">
      <alignment horizontal="general" vertical="bottom" textRotation="0" wrapText="false" indent="0" shrinkToFit="false"/>
      <protection locked="true" hidden="true"/>
    </xf>
    <xf numFmtId="164" fontId="36" fillId="0" borderId="0" xfId="0" applyFont="true" applyBorder="false" applyAlignment="true" applyProtection="true">
      <alignment horizontal="general" vertical="bottom" textRotation="0" wrapText="false" indent="0" shrinkToFit="false"/>
      <protection locked="true" hidden="true"/>
    </xf>
    <xf numFmtId="164" fontId="34" fillId="0" borderId="35" xfId="0" applyFont="true" applyBorder="true" applyAlignment="true" applyProtection="true">
      <alignment horizontal="left" vertical="bottom" textRotation="0" wrapText="false" indent="2" shrinkToFit="false"/>
      <protection locked="true" hidden="false"/>
    </xf>
    <xf numFmtId="164" fontId="34" fillId="0" borderId="35" xfId="0" applyFont="true" applyBorder="true" applyAlignment="true" applyProtection="true">
      <alignment horizontal="general" vertical="bottom" textRotation="0" wrapText="false" indent="0" shrinkToFit="false"/>
      <protection locked="true" hidden="false"/>
    </xf>
    <xf numFmtId="164" fontId="33" fillId="0" borderId="35" xfId="0" applyFont="true" applyBorder="true" applyAlignment="true" applyProtection="true">
      <alignment horizontal="general" vertical="bottom" textRotation="0" wrapText="false" indent="0" shrinkToFit="false"/>
      <protection locked="true" hidden="false"/>
    </xf>
    <xf numFmtId="164" fontId="31" fillId="0" borderId="35" xfId="0" applyFont="true" applyBorder="true" applyAlignment="true" applyProtection="true">
      <alignment horizontal="left" vertical="bottom" textRotation="0" wrapText="false" indent="2" shrinkToFit="true"/>
      <protection locked="true" hidden="false"/>
    </xf>
    <xf numFmtId="164" fontId="34" fillId="0" borderId="35" xfId="0" applyFont="true" applyBorder="true" applyAlignment="true" applyProtection="true">
      <alignment horizontal="left" vertical="bottom" textRotation="0" wrapText="false" indent="2" shrinkToFit="true"/>
      <protection locked="true" hidden="false"/>
    </xf>
    <xf numFmtId="164" fontId="0" fillId="0" borderId="35" xfId="0" applyFont="false" applyBorder="true" applyAlignment="true" applyProtection="true">
      <alignment horizontal="general" vertical="bottom" textRotation="0" wrapText="false" indent="0" shrinkToFit="false"/>
      <protection locked="true" hidden="false"/>
    </xf>
    <xf numFmtId="164" fontId="31" fillId="0" borderId="36" xfId="0" applyFont="true" applyBorder="true" applyAlignment="true" applyProtection="true">
      <alignment horizontal="left" vertical="bottom" textRotation="0" wrapText="false" indent="2" shrinkToFit="false"/>
      <protection locked="true" hidden="false"/>
    </xf>
    <xf numFmtId="164" fontId="31" fillId="0" borderId="35" xfId="0" applyFont="true" applyBorder="true" applyAlignment="true" applyProtection="true">
      <alignment horizontal="general" vertical="bottom" textRotation="0" wrapText="false" indent="0" shrinkToFit="false"/>
      <protection locked="true" hidden="false"/>
    </xf>
    <xf numFmtId="164" fontId="32" fillId="0" borderId="35" xfId="0" applyFont="true" applyBorder="true" applyAlignment="true" applyProtection="true">
      <alignment horizontal="general" vertical="bottom" textRotation="0" wrapText="false" indent="0" shrinkToFit="false"/>
      <protection locked="true" hidden="true"/>
    </xf>
    <xf numFmtId="164" fontId="27" fillId="0" borderId="0" xfId="0" applyFont="true" applyBorder="false" applyAlignment="true" applyProtection="true">
      <alignment horizontal="general" vertical="bottom" textRotation="0" wrapText="false" indent="0" shrinkToFit="false"/>
      <protection locked="true" hidden="true"/>
    </xf>
    <xf numFmtId="176" fontId="27" fillId="0" borderId="0" xfId="15" applyFont="true" applyBorder="true" applyAlignment="true" applyProtection="true">
      <alignment horizontal="general" vertical="bottom" textRotation="0" wrapText="false" indent="0" shrinkToFit="false"/>
      <protection locked="true" hidden="true"/>
    </xf>
    <xf numFmtId="171" fontId="27" fillId="0" borderId="0" xfId="19" applyFont="true" applyBorder="true" applyAlignment="true" applyProtection="true">
      <alignment horizontal="general" vertical="bottom" textRotation="0" wrapText="false" indent="0" shrinkToFit="false"/>
      <protection locked="true" hidden="true"/>
    </xf>
    <xf numFmtId="164" fontId="28" fillId="0" borderId="8"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true" applyProtection="true">
      <alignment horizontal="left" vertical="bottom" textRotation="0" wrapText="false" indent="0" shrinkToFit="false"/>
      <protection locked="true" hidden="true"/>
    </xf>
    <xf numFmtId="171" fontId="27" fillId="0" borderId="0" xfId="19" applyFont="true" applyBorder="true" applyAlignment="true" applyProtection="true">
      <alignment horizontal="center" vertical="bottom" textRotation="0" wrapText="false" indent="0" shrinkToFit="false"/>
      <protection locked="true" hidden="true"/>
    </xf>
    <xf numFmtId="164" fontId="27" fillId="0" borderId="8" xfId="0" applyFont="true" applyBorder="true" applyAlignment="true" applyProtection="true">
      <alignment horizontal="left" vertical="bottom" textRotation="0" wrapText="false" indent="3" shrinkToFit="false"/>
      <protection locked="true" hidden="true"/>
    </xf>
    <xf numFmtId="176" fontId="27" fillId="0" borderId="8" xfId="15" applyFont="true" applyBorder="true" applyAlignment="true" applyProtection="true">
      <alignment horizontal="general" vertical="bottom" textRotation="0" wrapText="false" indent="0" shrinkToFit="false"/>
      <protection locked="true" hidden="true"/>
    </xf>
    <xf numFmtId="177" fontId="27" fillId="3" borderId="8" xfId="0" applyFont="true" applyBorder="true" applyAlignment="true" applyProtection="true">
      <alignment horizontal="right" vertical="bottom" textRotation="0" wrapText="false" indent="0" shrinkToFit="false"/>
      <protection locked="true" hidden="true"/>
    </xf>
    <xf numFmtId="164" fontId="28" fillId="0" borderId="0" xfId="0" applyFont="true" applyBorder="false" applyAlignment="true" applyProtection="true">
      <alignment horizontal="left" vertical="bottom" textRotation="0" wrapText="false" indent="3" shrinkToFit="false"/>
      <protection locked="true" hidden="true"/>
    </xf>
    <xf numFmtId="176" fontId="28" fillId="0" borderId="33" xfId="15" applyFont="true" applyBorder="true" applyAlignment="true" applyProtection="true">
      <alignment horizontal="general" vertical="bottom" textRotation="0" wrapText="false" indent="0" shrinkToFit="false"/>
      <protection locked="true" hidden="true"/>
    </xf>
    <xf numFmtId="177" fontId="28" fillId="3" borderId="33" xfId="0" applyFont="true" applyBorder="true" applyAlignment="true" applyProtection="true">
      <alignment horizontal="right" vertical="bottom" textRotation="0" wrapText="false" indent="0" shrinkToFit="false"/>
      <protection locked="true" hidden="true"/>
    </xf>
    <xf numFmtId="164" fontId="27" fillId="0" borderId="8" xfId="0" applyFont="true" applyBorder="true" applyAlignment="true" applyProtection="true">
      <alignment horizontal="general" vertical="bottom" textRotation="0" wrapText="false" indent="0" shrinkToFit="false"/>
      <protection locked="true" hidden="true"/>
    </xf>
    <xf numFmtId="171" fontId="27" fillId="3" borderId="8" xfId="19" applyFont="true" applyBorder="true" applyAlignment="true" applyProtection="true">
      <alignment horizontal="general" vertical="bottom" textRotation="0" wrapText="false" indent="0" shrinkToFit="false"/>
      <protection locked="true" hidden="true"/>
    </xf>
    <xf numFmtId="176" fontId="27" fillId="3" borderId="8" xfId="15" applyFont="true" applyBorder="true" applyAlignment="true" applyProtection="true">
      <alignment horizontal="general" vertical="bottom" textRotation="0" wrapText="false" indent="0" shrinkToFit="false"/>
      <protection locked="true" hidden="true"/>
    </xf>
    <xf numFmtId="176" fontId="28" fillId="3" borderId="33" xfId="15" applyFont="true" applyBorder="true" applyAlignment="true" applyProtection="true">
      <alignment horizontal="general" vertical="bottom" textRotation="0" wrapText="false" indent="0" shrinkToFit="false"/>
      <protection locked="true" hidden="true"/>
    </xf>
    <xf numFmtId="171" fontId="28" fillId="3" borderId="33" xfId="19" applyFont="true" applyBorder="true" applyAlignment="true" applyProtection="true">
      <alignment horizontal="general" vertical="bottom" textRotation="0" wrapText="false" indent="0" shrinkToFit="false"/>
      <protection locked="true" hidden="true"/>
    </xf>
    <xf numFmtId="164" fontId="28" fillId="0" borderId="0" xfId="0" applyFont="true" applyBorder="false" applyAlignment="true" applyProtection="true">
      <alignment horizontal="general" vertical="bottom" textRotation="0" wrapText="false" indent="0" shrinkToFit="false"/>
      <protection locked="true" hidden="true"/>
    </xf>
    <xf numFmtId="164" fontId="27" fillId="0" borderId="0" xfId="0" applyFont="true" applyBorder="false" applyAlignment="true" applyProtection="true">
      <alignment horizontal="left" vertical="bottom" textRotation="0" wrapText="false" indent="2" shrinkToFit="false"/>
      <protection locked="true" hidden="true"/>
    </xf>
    <xf numFmtId="164" fontId="38" fillId="7" borderId="31" xfId="0" applyFont="true" applyBorder="true" applyAlignment="true" applyProtection="true">
      <alignment horizontal="center" vertical="bottom" textRotation="0" wrapText="false" indent="0" shrinkToFit="false"/>
      <protection locked="true" hidden="true"/>
    </xf>
    <xf numFmtId="165" fontId="39" fillId="3" borderId="8" xfId="0" applyFont="true" applyBorder="true" applyAlignment="true" applyProtection="true">
      <alignment horizontal="center" vertical="center" textRotation="0" wrapText="false" indent="0" shrinkToFit="false"/>
      <protection locked="true" hidden="false"/>
    </xf>
    <xf numFmtId="165" fontId="40" fillId="3" borderId="8" xfId="0" applyFont="true" applyBorder="true" applyAlignment="true" applyProtection="true">
      <alignment horizontal="general" vertical="bottom" textRotation="0" wrapText="false" indent="0" shrinkToFit="false"/>
      <protection locked="true" hidden="false"/>
    </xf>
    <xf numFmtId="164" fontId="27" fillId="0" borderId="8" xfId="0" applyFont="true" applyBorder="true" applyAlignment="true" applyProtection="true">
      <alignment horizontal="center" vertical="bottom" textRotation="0" wrapText="false" indent="0" shrinkToFit="false"/>
      <protection locked="true" hidden="false"/>
    </xf>
    <xf numFmtId="164" fontId="27" fillId="0" borderId="37" xfId="0" applyFont="true" applyBorder="true" applyAlignment="true" applyProtection="true">
      <alignment horizontal="center" vertical="bottom" textRotation="0" wrapText="false" indent="0" shrinkToFit="false"/>
      <protection locked="true" hidden="false"/>
    </xf>
    <xf numFmtId="165" fontId="27" fillId="8" borderId="38" xfId="0" applyFont="true" applyBorder="true" applyAlignment="true" applyProtection="true">
      <alignment horizontal="center" vertical="bottom" textRotation="0" wrapText="false" indent="0" shrinkToFit="false"/>
      <protection locked="false" hidden="false"/>
    </xf>
    <xf numFmtId="164" fontId="41" fillId="0" borderId="37" xfId="0" applyFont="true" applyBorder="true" applyAlignment="true" applyProtection="true">
      <alignment horizontal="center" vertical="bottom" textRotation="0" wrapText="false" indent="0" shrinkToFit="false"/>
      <protection locked="true" hidden="false"/>
    </xf>
    <xf numFmtId="165" fontId="27" fillId="8" borderId="0" xfId="0" applyFont="true" applyBorder="false" applyAlignment="true" applyProtection="true">
      <alignment horizontal="center" vertical="bottom" textRotation="0" wrapText="false" indent="0" shrinkToFit="false"/>
      <protection locked="false" hidden="false"/>
    </xf>
    <xf numFmtId="164" fontId="28" fillId="0" borderId="8" xfId="0" applyFont="true" applyBorder="true" applyAlignment="true" applyProtection="true">
      <alignment horizontal="center" vertical="bottom" textRotation="0" wrapText="false" indent="0" shrinkToFit="false"/>
      <protection locked="true" hidden="true"/>
    </xf>
    <xf numFmtId="165" fontId="27" fillId="0" borderId="0" xfId="0" applyFont="true" applyBorder="false" applyAlignment="true" applyProtection="true">
      <alignment horizontal="general" vertical="bottom" textRotation="0" wrapText="false" indent="0" shrinkToFit="false"/>
      <protection locked="true" hidden="true"/>
    </xf>
    <xf numFmtId="164" fontId="28" fillId="0" borderId="8" xfId="0" applyFont="true" applyBorder="true" applyAlignment="true" applyProtection="true">
      <alignment horizontal="general" vertical="bottom" textRotation="0" wrapText="false" indent="0" shrinkToFit="false"/>
      <protection locked="true" hidden="true"/>
    </xf>
    <xf numFmtId="176" fontId="28" fillId="0" borderId="8" xfId="15" applyFont="true" applyBorder="true" applyAlignment="true" applyProtection="true">
      <alignment horizontal="left" vertical="bottom" textRotation="0" wrapText="false" indent="0" shrinkToFit="false"/>
      <protection locked="true" hidden="true"/>
    </xf>
    <xf numFmtId="164" fontId="28" fillId="0" borderId="37" xfId="0" applyFont="true" applyBorder="true" applyAlignment="true" applyProtection="true">
      <alignment horizontal="general" vertical="bottom" textRotation="0" wrapText="false" indent="0" shrinkToFit="false"/>
      <protection locked="true" hidden="true"/>
    </xf>
    <xf numFmtId="176" fontId="28" fillId="0" borderId="8" xfId="15" applyFont="true" applyBorder="true" applyAlignment="true" applyProtection="true">
      <alignment horizontal="center" vertical="bottom" textRotation="0" wrapText="false" indent="0" shrinkToFit="false"/>
      <protection locked="true" hidden="true"/>
    </xf>
    <xf numFmtId="164" fontId="28" fillId="0" borderId="26" xfId="0" applyFont="true" applyBorder="true" applyAlignment="true" applyProtection="true">
      <alignment horizontal="general" vertical="bottom" textRotation="0" wrapText="false" indent="0" shrinkToFit="false"/>
      <protection locked="true" hidden="false"/>
    </xf>
    <xf numFmtId="164" fontId="27" fillId="8" borderId="8" xfId="0" applyFont="true" applyBorder="true" applyAlignment="true" applyProtection="true">
      <alignment horizontal="general" vertical="bottom" textRotation="0" wrapText="false" indent="0" shrinkToFit="false"/>
      <protection locked="false" hidden="false"/>
    </xf>
    <xf numFmtId="176" fontId="27" fillId="0" borderId="9" xfId="15" applyFont="true" applyBorder="true" applyAlignment="true" applyProtection="true">
      <alignment horizontal="general" vertical="bottom" textRotation="0" wrapText="false" indent="0" shrinkToFit="false"/>
      <protection locked="true" hidden="false"/>
    </xf>
    <xf numFmtId="164" fontId="27" fillId="0" borderId="10" xfId="0" applyFont="true" applyBorder="true" applyAlignment="true" applyProtection="true">
      <alignment horizontal="general" vertical="bottom" textRotation="0" wrapText="false" indent="0" shrinkToFit="false"/>
      <protection locked="true" hidden="true"/>
    </xf>
    <xf numFmtId="176" fontId="27" fillId="0" borderId="9" xfId="15" applyFont="true" applyBorder="true" applyAlignment="true" applyProtection="true">
      <alignment horizontal="general" vertical="bottom" textRotation="0" wrapText="false" indent="0" shrinkToFit="false"/>
      <protection locked="true" hidden="true"/>
    </xf>
    <xf numFmtId="164" fontId="28" fillId="0" borderId="31" xfId="0" applyFont="true" applyBorder="true" applyAlignment="true" applyProtection="true">
      <alignment horizontal="left" vertical="bottom" textRotation="0" wrapText="false" indent="2" shrinkToFit="false"/>
      <protection locked="true" hidden="false"/>
    </xf>
    <xf numFmtId="176" fontId="27" fillId="0" borderId="39" xfId="15" applyFont="true" applyBorder="true" applyAlignment="true" applyProtection="true">
      <alignment horizontal="general" vertical="bottom" textRotation="0" wrapText="false" indent="0" shrinkToFit="false"/>
      <protection locked="true" hidden="false"/>
    </xf>
    <xf numFmtId="164" fontId="28" fillId="0" borderId="31" xfId="0" applyFont="true" applyBorder="true" applyAlignment="true" applyProtection="true">
      <alignment horizontal="general" vertical="bottom" textRotation="0" wrapText="false" indent="0" shrinkToFit="false"/>
      <protection locked="true" hidden="false"/>
    </xf>
    <xf numFmtId="164" fontId="27" fillId="0" borderId="31" xfId="0" applyFont="true" applyBorder="true" applyAlignment="true" applyProtection="true">
      <alignment horizontal="left" vertical="bottom" textRotation="0" wrapText="false" indent="2" shrinkToFit="false"/>
      <protection locked="true" hidden="false"/>
    </xf>
    <xf numFmtId="164" fontId="27" fillId="0" borderId="31" xfId="0" applyFont="true" applyBorder="tru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true"/>
    </xf>
    <xf numFmtId="176" fontId="28" fillId="0" borderId="39" xfId="15" applyFont="true" applyBorder="true" applyAlignment="true" applyProtection="true">
      <alignment horizontal="general" vertical="bottom" textRotation="0" wrapText="false" indent="0" shrinkToFit="false"/>
      <protection locked="true" hidden="false"/>
    </xf>
    <xf numFmtId="164" fontId="28" fillId="0" borderId="31" xfId="0" applyFont="true" applyBorder="true" applyAlignment="true" applyProtection="true">
      <alignment horizontal="left" vertical="bottom" textRotation="0" wrapText="false" indent="0" shrinkToFit="false"/>
      <protection locked="true" hidden="false"/>
    </xf>
    <xf numFmtId="164" fontId="27" fillId="0" borderId="31" xfId="0" applyFont="true" applyBorder="true" applyAlignment="true" applyProtection="true">
      <alignment horizontal="left" vertical="bottom" textRotation="0" wrapText="false" indent="0" shrinkToFit="false"/>
      <protection locked="true" hidden="false"/>
    </xf>
    <xf numFmtId="164" fontId="27" fillId="0" borderId="39" xfId="0" applyFont="true" applyBorder="true" applyAlignment="true" applyProtection="true">
      <alignment horizontal="general" vertical="bottom" textRotation="0" wrapText="false" indent="0" shrinkToFit="false"/>
      <protection locked="true" hidden="false"/>
    </xf>
    <xf numFmtId="176" fontId="27" fillId="0" borderId="31" xfId="15" applyFont="true" applyBorder="tru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left" vertical="bottom" textRotation="0" wrapText="false" indent="0" shrinkToFit="false"/>
      <protection locked="true" hidden="true"/>
    </xf>
    <xf numFmtId="164" fontId="28" fillId="6" borderId="29" xfId="0" applyFont="true" applyBorder="true" applyAlignment="true" applyProtection="true">
      <alignment horizontal="general" vertical="bottom" textRotation="0" wrapText="false" indent="0" shrinkToFit="false"/>
      <protection locked="true" hidden="false"/>
    </xf>
    <xf numFmtId="164" fontId="28" fillId="6" borderId="30" xfId="0" applyFont="true" applyBorder="true" applyAlignment="true" applyProtection="true">
      <alignment horizontal="general" vertical="bottom" textRotation="0" wrapText="false" indent="0" shrinkToFit="false"/>
      <protection locked="true" hidden="true"/>
    </xf>
    <xf numFmtId="176" fontId="28" fillId="6" borderId="40" xfId="15" applyFont="true" applyBorder="true" applyAlignment="true" applyProtection="true">
      <alignment horizontal="general" vertical="bottom" textRotation="0" wrapText="false" indent="0" shrinkToFit="false"/>
      <protection locked="true" hidden="false"/>
    </xf>
    <xf numFmtId="164" fontId="28" fillId="9" borderId="8" xfId="0" applyFont="true" applyBorder="true" applyAlignment="true" applyProtection="true">
      <alignment horizontal="center" vertical="center" textRotation="0" wrapText="false" indent="0" shrinkToFit="false"/>
      <protection locked="true" hidden="true"/>
    </xf>
    <xf numFmtId="176" fontId="27" fillId="0" borderId="35" xfId="15" applyFont="true" applyBorder="true" applyAlignment="true" applyProtection="true">
      <alignment horizontal="general" vertical="bottom" textRotation="0" wrapText="false" indent="0" shrinkToFit="false"/>
      <protection locked="true" hidden="false"/>
    </xf>
    <xf numFmtId="164" fontId="28" fillId="9" borderId="31" xfId="0" applyFont="true" applyBorder="true" applyAlignment="true" applyProtection="true">
      <alignment horizontal="left" vertical="bottom" textRotation="0" wrapText="false" indent="0" shrinkToFit="false"/>
      <protection locked="true" hidden="true"/>
    </xf>
    <xf numFmtId="164" fontId="27" fillId="9" borderId="0" xfId="0" applyFont="true" applyBorder="false" applyAlignment="true" applyProtection="true">
      <alignment horizontal="general" vertical="bottom" textRotation="0" wrapText="false" indent="0" shrinkToFit="false"/>
      <protection locked="true" hidden="true"/>
    </xf>
    <xf numFmtId="176" fontId="28" fillId="9" borderId="39" xfId="15" applyFont="true" applyBorder="true" applyAlignment="true" applyProtection="true">
      <alignment horizontal="center" vertical="bottom" textRotation="0" wrapText="false" indent="0" shrinkToFit="false"/>
      <protection locked="true" hidden="true"/>
    </xf>
    <xf numFmtId="164" fontId="27" fillId="9" borderId="26" xfId="0" applyFont="true" applyBorder="true" applyAlignment="true" applyProtection="true">
      <alignment horizontal="general" vertical="bottom" textRotation="0" wrapText="false" indent="0" shrinkToFit="false"/>
      <protection locked="true" hidden="true"/>
    </xf>
    <xf numFmtId="164" fontId="28" fillId="9" borderId="10" xfId="0" applyFont="true" applyBorder="true" applyAlignment="true" applyProtection="true">
      <alignment horizontal="center" vertical="center" textRotation="0" wrapText="true" indent="0" shrinkToFit="false"/>
      <protection locked="true" hidden="true"/>
    </xf>
    <xf numFmtId="164" fontId="28" fillId="9" borderId="9" xfId="0" applyFont="true" applyBorder="true" applyAlignment="true" applyProtection="true">
      <alignment horizontal="center" vertical="center" textRotation="0" wrapText="true" indent="0" shrinkToFit="false"/>
      <protection locked="true" hidden="true"/>
    </xf>
    <xf numFmtId="164" fontId="28" fillId="9" borderId="31" xfId="0" applyFont="true" applyBorder="true" applyAlignment="true" applyProtection="true">
      <alignment horizontal="left" vertical="bottom" textRotation="0" wrapText="false" indent="3" shrinkToFit="false"/>
      <protection locked="true" hidden="true"/>
    </xf>
    <xf numFmtId="177" fontId="28" fillId="9" borderId="0" xfId="0" applyFont="true" applyBorder="false" applyAlignment="true" applyProtection="true">
      <alignment horizontal="right" vertical="bottom" textRotation="0" wrapText="false" indent="0" shrinkToFit="false"/>
      <protection locked="true" hidden="true"/>
    </xf>
    <xf numFmtId="177" fontId="28" fillId="9" borderId="39" xfId="0" applyFont="true" applyBorder="true" applyAlignment="true" applyProtection="true">
      <alignment horizontal="right" vertical="bottom" textRotation="0" wrapText="false" indent="0" shrinkToFit="false"/>
      <protection locked="true" hidden="true"/>
    </xf>
    <xf numFmtId="164" fontId="27" fillId="9" borderId="31" xfId="0" applyFont="true" applyBorder="true" applyAlignment="true" applyProtection="true">
      <alignment horizontal="general" vertical="bottom" textRotation="0" wrapText="false" indent="0" shrinkToFit="false"/>
      <protection locked="true" hidden="true"/>
    </xf>
    <xf numFmtId="164" fontId="27" fillId="9" borderId="39" xfId="0" applyFont="true" applyBorder="true" applyAlignment="true" applyProtection="true">
      <alignment horizontal="general" vertical="bottom" textRotation="0" wrapText="false" indent="0" shrinkToFit="false"/>
      <protection locked="true" hidden="true"/>
    </xf>
    <xf numFmtId="164" fontId="28" fillId="9" borderId="29" xfId="0" applyFont="true" applyBorder="true" applyAlignment="true" applyProtection="true">
      <alignment horizontal="left" vertical="bottom" textRotation="0" wrapText="false" indent="3" shrinkToFit="false"/>
      <protection locked="true" hidden="true"/>
    </xf>
    <xf numFmtId="177" fontId="28" fillId="9" borderId="30" xfId="0" applyFont="true" applyBorder="true" applyAlignment="true" applyProtection="true">
      <alignment horizontal="right" vertical="bottom" textRotation="0" wrapText="false" indent="0" shrinkToFit="false"/>
      <protection locked="true" hidden="true"/>
    </xf>
    <xf numFmtId="177" fontId="28" fillId="9" borderId="40" xfId="0" applyFont="true" applyBorder="true" applyAlignment="true" applyProtection="true">
      <alignment horizontal="right" vertical="bottom" textRotation="0" wrapText="false" indent="0" shrinkToFit="false"/>
      <protection locked="true" hidden="true"/>
    </xf>
    <xf numFmtId="176" fontId="27" fillId="9" borderId="39" xfId="15" applyFont="true" applyBorder="true" applyAlignment="true" applyProtection="true">
      <alignment horizontal="general" vertical="bottom" textRotation="0" wrapText="false" indent="0" shrinkToFit="false"/>
      <protection locked="true" hidden="true"/>
    </xf>
    <xf numFmtId="164" fontId="28" fillId="9" borderId="8" xfId="0" applyFont="true" applyBorder="true" applyAlignment="true" applyProtection="true">
      <alignment horizontal="center" vertical="bottom" textRotation="0" wrapText="false" indent="0" shrinkToFit="false"/>
      <protection locked="true" hidden="true"/>
    </xf>
    <xf numFmtId="164" fontId="27" fillId="9" borderId="37" xfId="0" applyFont="true" applyBorder="true" applyAlignment="true" applyProtection="true">
      <alignment horizontal="left" vertical="bottom" textRotation="0" wrapText="false" indent="3" shrinkToFit="false"/>
      <protection locked="true" hidden="true"/>
    </xf>
    <xf numFmtId="166" fontId="43" fillId="9" borderId="26" xfId="0" applyFont="true" applyBorder="true" applyAlignment="true" applyProtection="true">
      <alignment horizontal="left" vertical="bottom" textRotation="0" wrapText="false" indent="2" shrinkToFit="false"/>
      <protection locked="true" hidden="true"/>
    </xf>
    <xf numFmtId="176" fontId="43" fillId="9" borderId="9" xfId="15" applyFont="true" applyBorder="true" applyAlignment="true" applyProtection="true">
      <alignment horizontal="center" vertical="bottom" textRotation="0" wrapText="false" indent="0" shrinkToFit="false"/>
      <protection locked="true" hidden="true"/>
    </xf>
    <xf numFmtId="164" fontId="43" fillId="9" borderId="37" xfId="0" applyFont="true" applyBorder="true" applyAlignment="true" applyProtection="true">
      <alignment horizontal="left" vertical="bottom" textRotation="0" wrapText="false" indent="2" shrinkToFit="false"/>
      <protection locked="true" hidden="true"/>
    </xf>
    <xf numFmtId="176" fontId="27" fillId="9" borderId="38" xfId="15" applyFont="true" applyBorder="true" applyAlignment="true" applyProtection="true">
      <alignment horizontal="general" vertical="bottom" textRotation="0" wrapText="false" indent="0" shrinkToFit="false"/>
      <protection locked="true" hidden="true"/>
    </xf>
    <xf numFmtId="164" fontId="44" fillId="9" borderId="29" xfId="0" applyFont="true" applyBorder="true" applyAlignment="true" applyProtection="true">
      <alignment horizontal="left" vertical="bottom" textRotation="0" wrapText="false" indent="2" shrinkToFit="false"/>
      <protection locked="true" hidden="true"/>
    </xf>
    <xf numFmtId="176" fontId="27" fillId="9" borderId="40" xfId="15" applyFont="true" applyBorder="true" applyAlignment="true" applyProtection="true">
      <alignment horizontal="general" vertical="bottom" textRotation="0" wrapText="false" indent="0" shrinkToFit="false"/>
      <protection locked="true" hidden="true"/>
    </xf>
    <xf numFmtId="164" fontId="29" fillId="9" borderId="37" xfId="0" applyFont="true" applyBorder="true" applyAlignment="true" applyProtection="true">
      <alignment horizontal="left" vertical="bottom" textRotation="0" wrapText="false" indent="2" shrinkToFit="false"/>
      <protection locked="true" hidden="true"/>
    </xf>
    <xf numFmtId="164" fontId="27" fillId="0" borderId="29" xfId="0" applyFont="true" applyBorder="true" applyAlignment="true" applyProtection="true">
      <alignment horizontal="general" vertical="bottom" textRotation="0" wrapText="false" indent="0" shrinkToFit="false"/>
      <protection locked="true" hidden="false"/>
    </xf>
    <xf numFmtId="164" fontId="27" fillId="0" borderId="30" xfId="0" applyFont="true" applyBorder="true" applyAlignment="true" applyProtection="true">
      <alignment horizontal="general" vertical="bottom" textRotation="0" wrapText="false" indent="0" shrinkToFit="false"/>
      <protection locked="true" hidden="true"/>
    </xf>
    <xf numFmtId="176" fontId="27" fillId="0" borderId="40" xfId="15" applyFont="true" applyBorder="true" applyAlignment="true" applyProtection="true">
      <alignment horizontal="general" vertical="bottom" textRotation="0" wrapText="false" indent="0" shrinkToFit="false"/>
      <protection locked="true" hidden="false"/>
    </xf>
    <xf numFmtId="164" fontId="27" fillId="6" borderId="30" xfId="0" applyFont="true" applyBorder="true" applyAlignment="true" applyProtection="true">
      <alignment horizontal="general" vertical="bottom" textRotation="0" wrapText="false" indent="0" shrinkToFit="false"/>
      <protection locked="true" hidden="true"/>
    </xf>
    <xf numFmtId="164" fontId="28" fillId="0" borderId="29" xfId="0" applyFont="true" applyBorder="true" applyAlignment="true" applyProtection="true">
      <alignment horizontal="left" vertical="bottom" textRotation="0" wrapText="false" indent="2" shrinkToFit="false"/>
      <protection locked="true" hidden="false"/>
    </xf>
    <xf numFmtId="164" fontId="27" fillId="0" borderId="31" xfId="0" applyFont="true" applyBorder="tru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64" fontId="45" fillId="0" borderId="8" xfId="0" applyFont="true" applyBorder="true" applyAlignment="true" applyProtection="true">
      <alignment horizontal="general" vertical="bottom" textRotation="0" wrapText="false" indent="0" shrinkToFit="false"/>
      <protection locked="true" hidden="false"/>
    </xf>
    <xf numFmtId="178" fontId="0" fillId="0" borderId="8" xfId="0" applyFont="fals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27" fillId="3" borderId="8" xfId="0" applyFont="true" applyBorder="true" applyAlignment="true" applyProtection="true">
      <alignment horizontal="center" vertical="bottom" textRotation="0" wrapText="false" indent="0" shrinkToFit="false"/>
      <protection locked="true" hidden="true"/>
    </xf>
    <xf numFmtId="165" fontId="27" fillId="8" borderId="0" xfId="15" applyFont="true" applyBorder="true" applyAlignment="true" applyProtection="true">
      <alignment horizontal="center" vertical="bottom" textRotation="0" wrapText="false" indent="0" shrinkToFit="false"/>
      <protection locked="true" hidden="true"/>
    </xf>
    <xf numFmtId="164" fontId="27" fillId="0" borderId="37" xfId="0" applyFont="true" applyBorder="true" applyAlignment="true" applyProtection="true">
      <alignment horizontal="center" vertical="bottom" textRotation="0" wrapText="false" indent="0" shrinkToFit="false"/>
      <protection locked="true" hidden="true"/>
    </xf>
    <xf numFmtId="165" fontId="27" fillId="8" borderId="0" xfId="0" applyFont="true" applyBorder="false" applyAlignment="true" applyProtection="true">
      <alignment horizontal="center" vertical="bottom" textRotation="0" wrapText="false" indent="0" shrinkToFit="false"/>
      <protection locked="true" hidden="true"/>
    </xf>
    <xf numFmtId="166" fontId="33" fillId="6" borderId="8" xfId="0" applyFont="true" applyBorder="true" applyAlignment="true" applyProtection="true">
      <alignment horizontal="general" vertical="bottom" textRotation="0" wrapText="false" indent="0" shrinkToFit="false"/>
      <protection locked="true" hidden="true"/>
    </xf>
    <xf numFmtId="177" fontId="28" fillId="3" borderId="13" xfId="0" applyFont="true" applyBorder="true" applyAlignment="true" applyProtection="true">
      <alignment horizontal="center" vertical="bottom" textRotation="0" wrapText="false" indent="0" shrinkToFit="false"/>
      <protection locked="true" hidden="true"/>
    </xf>
    <xf numFmtId="177" fontId="27" fillId="3" borderId="8" xfId="0" applyFont="true" applyBorder="true" applyAlignment="true" applyProtection="true">
      <alignment horizontal="general" vertical="bottom" textRotation="0" wrapText="false" indent="0" shrinkToFit="false"/>
      <protection locked="true" hidden="true"/>
    </xf>
    <xf numFmtId="164" fontId="33" fillId="0" borderId="0" xfId="0" applyFont="true" applyBorder="false" applyAlignment="true" applyProtection="true">
      <alignment horizontal="general" vertical="bottom" textRotation="0" wrapText="false" indent="0" shrinkToFit="false"/>
      <protection locked="true" hidden="true"/>
    </xf>
    <xf numFmtId="164" fontId="34" fillId="0" borderId="0" xfId="0" applyFont="true" applyBorder="false" applyAlignment="true" applyProtection="true">
      <alignment horizontal="general" vertical="bottom" textRotation="0" wrapText="false" indent="0" shrinkToFit="false"/>
      <protection locked="true" hidden="true"/>
    </xf>
    <xf numFmtId="176" fontId="28" fillId="0" borderId="33" xfId="15" applyFont="true" applyBorder="true" applyAlignment="true" applyProtection="true">
      <alignment horizontal="center" vertical="bottom" textRotation="0" wrapText="false" indent="0" shrinkToFit="false"/>
      <protection locked="true" hidden="true"/>
    </xf>
    <xf numFmtId="164" fontId="28" fillId="0" borderId="33" xfId="0" applyFont="true" applyBorder="true" applyAlignment="true" applyProtection="true">
      <alignment horizontal="center" vertical="bottom" textRotation="0" wrapText="false" indent="0" shrinkToFit="false"/>
      <protection locked="true" hidden="true"/>
    </xf>
    <xf numFmtId="166" fontId="33" fillId="0" borderId="13" xfId="0" applyFont="true" applyBorder="true" applyAlignment="true" applyProtection="true">
      <alignment horizontal="general" vertical="bottom" textRotation="0" wrapText="false" indent="0" shrinkToFit="false"/>
      <protection locked="true" hidden="true"/>
    </xf>
    <xf numFmtId="171" fontId="27" fillId="0" borderId="0" xfId="0" applyFont="true" applyBorder="false" applyAlignment="tru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general" vertical="bottom" textRotation="0" wrapText="false" indent="0" shrinkToFit="false"/>
      <protection locked="true" hidden="true"/>
    </xf>
    <xf numFmtId="166" fontId="33" fillId="0" borderId="9" xfId="0" applyFont="true" applyBorder="true" applyAlignment="true" applyProtection="true">
      <alignment horizontal="general" vertical="bottom" textRotation="0" wrapText="false" indent="0" shrinkToFit="false"/>
      <protection locked="true" hidden="true"/>
    </xf>
    <xf numFmtId="171" fontId="27" fillId="0" borderId="0" xfId="15" applyFont="true" applyBorder="true" applyAlignment="true" applyProtection="true">
      <alignment horizontal="general" vertical="bottom" textRotation="0" wrapText="false" indent="0" shrinkToFit="false"/>
      <protection locked="true" hidden="true"/>
    </xf>
    <xf numFmtId="166" fontId="35" fillId="0" borderId="35" xfId="0" applyFont="true" applyBorder="true" applyAlignment="true" applyProtection="true">
      <alignment horizontal="left" vertical="bottom" textRotation="0" wrapText="false" indent="2" shrinkToFit="false"/>
      <protection locked="true" hidden="true"/>
    </xf>
    <xf numFmtId="176" fontId="27" fillId="2" borderId="8" xfId="15" applyFont="true" applyBorder="true" applyAlignment="true" applyProtection="true">
      <alignment horizontal="general" vertical="bottom" textRotation="0" wrapText="false" indent="0" shrinkToFit="false"/>
      <protection locked="true" hidden="true"/>
    </xf>
    <xf numFmtId="166" fontId="31" fillId="0" borderId="35" xfId="0" applyFont="true" applyBorder="true" applyAlignment="true" applyProtection="true">
      <alignment horizontal="left" vertical="bottom" textRotation="0" wrapText="false" indent="2" shrinkToFit="false"/>
      <protection locked="true" hidden="true"/>
    </xf>
    <xf numFmtId="176" fontId="27" fillId="2" borderId="37" xfId="15" applyFont="true" applyBorder="true" applyAlignment="true" applyProtection="true">
      <alignment horizontal="general" vertical="bottom" textRotation="0" wrapText="false" indent="0" shrinkToFit="false"/>
      <protection locked="true" hidden="true"/>
    </xf>
    <xf numFmtId="166" fontId="31" fillId="0" borderId="39" xfId="0" applyFont="true" applyBorder="true" applyAlignment="true" applyProtection="true">
      <alignment horizontal="left" vertical="bottom" textRotation="0" wrapText="false" indent="2" shrinkToFit="false"/>
      <protection locked="true" hidden="true"/>
    </xf>
    <xf numFmtId="171" fontId="32" fillId="0" borderId="0" xfId="0" applyFont="true" applyBorder="false" applyAlignment="true" applyProtection="true">
      <alignment horizontal="general" vertical="bottom" textRotation="0" wrapText="false" indent="0" shrinkToFit="false"/>
      <protection locked="true" hidden="true"/>
    </xf>
    <xf numFmtId="166" fontId="34" fillId="0" borderId="39" xfId="0" applyFont="true" applyBorder="true" applyAlignment="true" applyProtection="true">
      <alignment horizontal="left" vertical="bottom" textRotation="0" wrapText="false" indent="2" shrinkToFit="false"/>
      <protection locked="true" hidden="true"/>
    </xf>
    <xf numFmtId="164" fontId="34" fillId="0" borderId="35" xfId="0" applyFont="true" applyBorder="true" applyAlignment="true" applyProtection="true">
      <alignment horizontal="general" vertical="bottom" textRotation="0" wrapText="false" indent="0" shrinkToFit="false"/>
      <protection locked="true" hidden="true"/>
    </xf>
    <xf numFmtId="176" fontId="31" fillId="0" borderId="33" xfId="0" applyFont="true" applyBorder="true" applyAlignment="true" applyProtection="true">
      <alignment horizontal="general" vertical="bottom" textRotation="0" wrapText="false" indent="0" shrinkToFit="false"/>
      <protection locked="true" hidden="true"/>
    </xf>
    <xf numFmtId="166" fontId="33" fillId="0" borderId="35" xfId="0" applyFont="true" applyBorder="true" applyAlignment="true" applyProtection="true">
      <alignment horizontal="general" vertical="bottom" textRotation="0" wrapText="false" indent="0" shrinkToFit="false"/>
      <protection locked="true" hidden="true"/>
    </xf>
    <xf numFmtId="164" fontId="33" fillId="0" borderId="39" xfId="0" applyFont="true" applyBorder="true" applyAlignment="true" applyProtection="true">
      <alignment horizontal="general" vertical="bottom" textRotation="0" wrapText="false" indent="0" shrinkToFit="false"/>
      <protection locked="true" hidden="true"/>
    </xf>
    <xf numFmtId="166" fontId="31" fillId="0" borderId="35" xfId="0" applyFont="true" applyBorder="true" applyAlignment="true" applyProtection="true">
      <alignment horizontal="left" vertical="bottom" textRotation="0" wrapText="false" indent="2" shrinkToFit="true"/>
      <protection locked="true" hidden="true"/>
    </xf>
    <xf numFmtId="166" fontId="34" fillId="0" borderId="35" xfId="0" applyFont="true" applyBorder="true" applyAlignment="true" applyProtection="true">
      <alignment horizontal="left" vertical="bottom" textRotation="0" wrapText="false" indent="2" shrinkToFit="true"/>
      <protection locked="true" hidden="true"/>
    </xf>
    <xf numFmtId="176" fontId="28" fillId="0" borderId="0" xfId="15" applyFont="true" applyBorder="true" applyAlignment="true" applyProtection="true">
      <alignment horizontal="general" vertical="bottom" textRotation="0" wrapText="false" indent="0" shrinkToFit="false"/>
      <protection locked="true" hidden="true"/>
    </xf>
    <xf numFmtId="164" fontId="0" fillId="0" borderId="39" xfId="0" applyFont="false" applyBorder="true" applyAlignment="true" applyProtection="true">
      <alignment horizontal="general" vertical="bottom" textRotation="0" wrapText="false" indent="0" shrinkToFit="false"/>
      <protection locked="true" hidden="true"/>
    </xf>
    <xf numFmtId="166" fontId="31" fillId="0" borderId="36" xfId="0" applyFont="true" applyBorder="true" applyAlignment="true" applyProtection="true">
      <alignment horizontal="left" vertical="bottom" textRotation="0" wrapText="false" indent="2" shrinkToFit="false"/>
      <protection locked="true" hidden="true"/>
    </xf>
    <xf numFmtId="176" fontId="27" fillId="0" borderId="33" xfId="15" applyFont="true" applyBorder="true" applyAlignment="true" applyProtection="true">
      <alignment horizontal="general" vertical="bottom" textRotation="0" wrapText="false" indent="0" shrinkToFit="false"/>
      <protection locked="true" hidden="true"/>
    </xf>
    <xf numFmtId="164" fontId="34" fillId="0" borderId="39" xfId="0" applyFont="true" applyBorder="true" applyAlignment="true" applyProtection="true">
      <alignment horizontal="general" vertical="bottom" textRotation="0" wrapText="false" indent="0" shrinkToFit="false"/>
      <protection locked="true" hidden="true"/>
    </xf>
    <xf numFmtId="164" fontId="33" fillId="6" borderId="31" xfId="0" applyFont="true" applyBorder="true" applyAlignment="true" applyProtection="true">
      <alignment horizontal="center" vertical="bottom" textRotation="0" wrapText="false" indent="0" shrinkToFit="false"/>
      <protection locked="true" hidden="true"/>
    </xf>
    <xf numFmtId="171" fontId="27" fillId="6" borderId="33" xfId="0" applyFont="true" applyBorder="true" applyAlignment="true" applyProtection="true">
      <alignment horizontal="general" vertical="bottom" textRotation="0" wrapText="false" indent="0" shrinkToFit="false"/>
      <protection locked="true" hidden="true"/>
    </xf>
    <xf numFmtId="176" fontId="27" fillId="6" borderId="33" xfId="0" applyFont="true" applyBorder="true" applyAlignment="true" applyProtection="true">
      <alignment horizontal="general" vertical="bottom" textRotation="0" wrapText="false" indent="0" shrinkToFit="false"/>
      <protection locked="true" hidden="true"/>
    </xf>
    <xf numFmtId="166" fontId="31" fillId="0" borderId="39" xfId="0" applyFont="true" applyBorder="true" applyAlignment="true" applyProtection="true">
      <alignment horizontal="general" vertical="bottom" textRotation="0" wrapText="false" indent="0" shrinkToFit="false"/>
      <protection locked="true" hidden="true"/>
    </xf>
    <xf numFmtId="176" fontId="28" fillId="0" borderId="33" xfId="0" applyFont="true" applyBorder="true" applyAlignment="true" applyProtection="true">
      <alignment horizontal="general" vertical="bottom" textRotation="0" wrapText="false" indent="0" shrinkToFit="false"/>
      <protection locked="true" hidden="true"/>
    </xf>
    <xf numFmtId="171" fontId="27" fillId="6" borderId="33" xfId="19" applyFont="true" applyBorder="true" applyAlignment="true" applyProtection="true">
      <alignment horizontal="general" vertical="bottom" textRotation="0" wrapText="false" indent="0" shrinkToFit="false"/>
      <protection locked="true" hidden="true"/>
    </xf>
    <xf numFmtId="176" fontId="27" fillId="6" borderId="33" xfId="15" applyFont="true" applyBorder="true" applyAlignment="true" applyProtection="true">
      <alignment horizontal="general" vertical="bottom" textRotation="0" wrapText="false" indent="0" shrinkToFit="false"/>
      <protection locked="true" hidden="true"/>
    </xf>
    <xf numFmtId="176" fontId="27" fillId="0" borderId="33" xfId="0" applyFont="true" applyBorder="true" applyAlignment="true" applyProtection="true">
      <alignment horizontal="general" vertical="bottom" textRotation="0" wrapText="false" indent="0" shrinkToFit="false"/>
      <protection locked="true" hidden="true"/>
    </xf>
    <xf numFmtId="166" fontId="31" fillId="0" borderId="40" xfId="0" applyFont="true" applyBorder="true" applyAlignment="true" applyProtection="true">
      <alignment horizontal="left" vertical="bottom" textRotation="0" wrapText="false" indent="2" shrinkToFit="false"/>
      <protection locked="true" hidden="true"/>
    </xf>
    <xf numFmtId="166" fontId="33" fillId="0" borderId="35" xfId="0" applyFont="true" applyBorder="true" applyAlignment="true" applyProtection="true">
      <alignment horizontal="left" vertical="bottom" textRotation="0" wrapText="false" indent="2" shrinkToFit="false"/>
      <protection locked="true" hidden="true"/>
    </xf>
    <xf numFmtId="176" fontId="27" fillId="6" borderId="41" xfId="0" applyFont="true" applyBorder="true" applyAlignment="true" applyProtection="true">
      <alignment horizontal="general" vertical="bottom" textRotation="0" wrapText="false" indent="0" shrinkToFit="false"/>
      <protection locked="true" hidden="true"/>
    </xf>
    <xf numFmtId="164" fontId="33" fillId="0" borderId="36" xfId="0" applyFont="true" applyBorder="true" applyAlignment="true" applyProtection="true">
      <alignment horizontal="general" vertical="bottom" textRotation="0" wrapText="false" indent="0" shrinkToFit="false"/>
      <protection locked="true" hidden="true"/>
    </xf>
    <xf numFmtId="164" fontId="31" fillId="0" borderId="0" xfId="0" applyFont="true" applyBorder="false" applyAlignment="true" applyProtection="true">
      <alignment horizontal="left" vertical="bottom" textRotation="0" wrapText="false" indent="2" shrinkToFit="false"/>
      <protection locked="true" hidden="true"/>
    </xf>
    <xf numFmtId="164" fontId="46" fillId="0" borderId="0" xfId="0" applyFont="true" applyBorder="false" applyAlignment="true" applyProtection="true">
      <alignment horizontal="general" vertical="bottom" textRotation="0" wrapText="false" indent="0" shrinkToFit="false"/>
      <protection locked="true" hidden="false"/>
    </xf>
    <xf numFmtId="164" fontId="47" fillId="10" borderId="13" xfId="0" applyFont="true" applyBorder="true" applyAlignment="true" applyProtection="true">
      <alignment horizontal="center" vertical="bottom" textRotation="0" wrapText="false" indent="0" shrinkToFit="false"/>
      <protection locked="true" hidden="false"/>
    </xf>
    <xf numFmtId="164" fontId="46" fillId="10" borderId="13" xfId="0" applyFont="true" applyBorder="true" applyAlignment="true" applyProtection="true">
      <alignment horizontal="center" vertical="bottom" textRotation="0" wrapText="false" indent="0" shrinkToFit="false"/>
      <protection locked="true" hidden="false"/>
    </xf>
    <xf numFmtId="165" fontId="46" fillId="10" borderId="13" xfId="0" applyFont="true" applyBorder="true" applyAlignment="true" applyProtection="true">
      <alignment horizontal="center" vertical="bottom" textRotation="0" wrapText="false" indent="0" shrinkToFit="false"/>
      <protection locked="true" hidden="false"/>
    </xf>
    <xf numFmtId="164" fontId="46" fillId="0" borderId="8" xfId="0" applyFont="true" applyBorder="true" applyAlignment="true" applyProtection="true">
      <alignment horizontal="general" vertical="bottom" textRotation="0" wrapText="false" indent="0" shrinkToFit="false"/>
      <protection locked="true" hidden="false"/>
    </xf>
    <xf numFmtId="165" fontId="46" fillId="0" borderId="8" xfId="0" applyFont="true" applyBorder="true" applyAlignment="true" applyProtection="true">
      <alignment horizontal="general" vertical="center" textRotation="0" wrapText="false" indent="0" shrinkToFit="false"/>
      <protection locked="true" hidden="false"/>
    </xf>
    <xf numFmtId="164" fontId="0" fillId="0" borderId="8" xfId="0" applyFont="true" applyBorder="true" applyAlignment="true" applyProtection="true">
      <alignment horizontal="general" vertical="center" textRotation="0" wrapText="false" indent="0" shrinkToFit="false"/>
      <protection locked="true" hidden="false"/>
    </xf>
    <xf numFmtId="165" fontId="0" fillId="0" borderId="8" xfId="0" applyFont="true" applyBorder="true" applyAlignment="true" applyProtection="true">
      <alignment horizontal="general" vertical="center" textRotation="0" wrapText="false" indent="0" shrinkToFit="false"/>
      <protection locked="true" hidden="false"/>
    </xf>
    <xf numFmtId="164" fontId="0" fillId="0" borderId="36" xfId="0" applyFont="true" applyBorder="true" applyAlignment="true" applyProtection="true">
      <alignment horizontal="general" vertical="center" textRotation="0" wrapText="false" indent="0" shrinkToFit="false"/>
      <protection locked="true" hidden="false"/>
    </xf>
    <xf numFmtId="165" fontId="0" fillId="0" borderId="36" xfId="0" applyFont="true" applyBorder="true" applyAlignment="true" applyProtection="true">
      <alignment horizontal="general" vertical="center" textRotation="0" wrapText="false" indent="0" shrinkToFit="false"/>
      <protection locked="true" hidden="false"/>
    </xf>
    <xf numFmtId="164" fontId="45" fillId="0" borderId="36" xfId="0" applyFont="true" applyBorder="true" applyAlignment="true" applyProtection="true">
      <alignment horizontal="general" vertical="center" textRotation="0" wrapText="false" indent="0" shrinkToFit="false"/>
      <protection locked="true" hidden="false"/>
    </xf>
    <xf numFmtId="164" fontId="45" fillId="0" borderId="8" xfId="0" applyFont="true" applyBorder="true" applyAlignment="true" applyProtection="true">
      <alignment horizontal="general" vertical="center" textRotation="0" wrapText="false" indent="0" shrinkToFit="false"/>
      <protection locked="true" hidden="false"/>
    </xf>
    <xf numFmtId="164" fontId="48" fillId="0" borderId="8" xfId="0" applyFont="true" applyBorder="true" applyAlignment="true" applyProtection="true">
      <alignment horizontal="general" vertical="bottom" textRotation="0" wrapText="false" indent="0" shrinkToFit="false"/>
      <protection locked="true" hidden="false"/>
    </xf>
    <xf numFmtId="165" fontId="49" fillId="0" borderId="8" xfId="0" applyFont="true" applyBorder="true" applyAlignment="true" applyProtection="true">
      <alignment horizontal="general" vertical="bottom" textRotation="0" wrapText="false" indent="0" shrinkToFit="false"/>
      <protection locked="true" hidden="false"/>
    </xf>
    <xf numFmtId="165" fontId="48" fillId="0" borderId="8" xfId="0" applyFont="true" applyBorder="true" applyAlignment="true" applyProtection="true">
      <alignment horizontal="general" vertical="bottom"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65" fontId="0" fillId="0" borderId="8" xfId="0" applyFont="true" applyBorder="true" applyAlignment="true" applyProtection="true">
      <alignment horizontal="right" vertical="center" textRotation="0" wrapText="false" indent="0" shrinkToFit="false"/>
      <protection locked="true" hidden="false"/>
    </xf>
    <xf numFmtId="165" fontId="5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true">
      <alignment horizontal="general" vertical="center" textRotation="0" wrapText="false" indent="0" shrinkToFit="false"/>
      <protection locked="true" hidden="false"/>
    </xf>
    <xf numFmtId="164" fontId="50" fillId="0" borderId="0" xfId="0" applyFont="true" applyBorder="false" applyAlignment="true" applyProtection="true">
      <alignment horizontal="general" vertical="center"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5" fontId="52" fillId="0" borderId="0" xfId="0" applyFont="true" applyBorder="false" applyAlignment="true" applyProtection="true">
      <alignment horizontal="general" vertical="center" textRotation="0" wrapText="false" indent="0" shrinkToFit="false"/>
      <protection locked="true" hidden="false"/>
    </xf>
    <xf numFmtId="164" fontId="52" fillId="0" borderId="0" xfId="0" applyFont="true" applyBorder="false" applyAlignment="true" applyProtection="true">
      <alignment horizontal="general" vertical="center" textRotation="0" wrapText="false" indent="0" shrinkToFit="false"/>
      <protection locked="true" hidden="false"/>
    </xf>
    <xf numFmtId="164" fontId="53" fillId="11" borderId="8" xfId="0" applyFont="true" applyBorder="true" applyAlignment="true" applyProtection="true">
      <alignment horizontal="general" vertical="bottom" textRotation="0" wrapText="false" indent="0" shrinkToFit="false"/>
      <protection locked="true" hidden="false"/>
    </xf>
    <xf numFmtId="164" fontId="53" fillId="12" borderId="8"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9" fillId="0" borderId="8" xfId="0" applyFont="true" applyBorder="true" applyAlignment="true" applyProtection="true">
      <alignment horizontal="general" vertical="bottom" textRotation="0" wrapText="false" indent="0" shrinkToFit="false"/>
      <protection locked="true" hidden="false"/>
    </xf>
    <xf numFmtId="164" fontId="54" fillId="0" borderId="8" xfId="0" applyFont="true" applyBorder="tru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5" fontId="49" fillId="13" borderId="8" xfId="0" applyFont="true" applyBorder="true" applyAlignment="true" applyProtection="true">
      <alignment horizontal="center" vertical="bottom" textRotation="0" wrapText="true" indent="0" shrinkToFit="false"/>
      <protection locked="true" hidden="false"/>
    </xf>
    <xf numFmtId="165" fontId="49" fillId="0" borderId="8" xfId="0" applyFont="true" applyBorder="true" applyAlignment="true" applyProtection="true">
      <alignment horizontal="general" vertical="bottom" textRotation="0" wrapText="true" indent="0" shrinkToFit="false"/>
      <protection locked="true" hidden="false"/>
    </xf>
    <xf numFmtId="165" fontId="49" fillId="0" borderId="8" xfId="0" applyFont="true" applyBorder="true" applyAlignment="true" applyProtection="true">
      <alignment horizontal="general" vertical="center" textRotation="0" wrapText="true" indent="0" shrinkToFit="false"/>
      <protection locked="true" hidden="false"/>
    </xf>
    <xf numFmtId="165" fontId="48" fillId="0" borderId="8" xfId="0" applyFont="true" applyBorder="true" applyAlignment="true" applyProtection="true">
      <alignment horizontal="general" vertical="center" textRotation="0" wrapText="true" indent="0" shrinkToFit="false"/>
      <protection locked="true" hidden="false"/>
    </xf>
    <xf numFmtId="164" fontId="54" fillId="0" borderId="0" xfId="0" applyFont="true" applyBorder="true" applyAlignment="true" applyProtection="true">
      <alignment horizontal="center" vertical="bottom" textRotation="0" wrapText="false" indent="0" shrinkToFit="false"/>
      <protection locked="true" hidden="false"/>
    </xf>
    <xf numFmtId="164" fontId="55" fillId="3" borderId="42" xfId="0" applyFont="true" applyBorder="true" applyAlignment="true" applyProtection="true">
      <alignment horizontal="general" vertical="bottom" textRotation="0" wrapText="false" indent="0" shrinkToFit="false"/>
      <protection locked="true" hidden="false"/>
    </xf>
    <xf numFmtId="176" fontId="45" fillId="0" borderId="43" xfId="15" applyFont="true" applyBorder="true" applyAlignment="true" applyProtection="true">
      <alignment horizontal="general" vertical="bottom" textRotation="0" wrapText="false" indent="0" shrinkToFit="false"/>
      <protection locked="false" hidden="false"/>
    </xf>
    <xf numFmtId="164" fontId="0" fillId="0" borderId="44" xfId="0" applyFont="false" applyBorder="true" applyAlignment="true" applyProtection="true">
      <alignment horizontal="general" vertical="bottom" textRotation="0" wrapText="false" indent="0" shrinkToFit="false"/>
      <protection locked="tru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55" fillId="3" borderId="7" xfId="0" applyFont="true" applyBorder="true" applyAlignment="true" applyProtection="true">
      <alignment horizontal="general" vertical="bottom" textRotation="0" wrapText="false" indent="0" shrinkToFit="false"/>
      <protection locked="true" hidden="false"/>
    </xf>
    <xf numFmtId="172" fontId="45" fillId="0" borderId="8" xfId="0" applyFont="true" applyBorder="true" applyAlignment="true" applyProtection="true">
      <alignment horizontal="general" vertical="bottom" textRotation="0" wrapText="false" indent="0" shrinkToFit="false"/>
      <protection locked="false" hidden="false"/>
    </xf>
    <xf numFmtId="164" fontId="0" fillId="0" borderId="31" xfId="0" applyFont="false" applyBorder="true" applyAlignment="true" applyProtection="true">
      <alignment horizontal="general" vertical="bottom" textRotation="0" wrapText="false" indent="0" shrinkToFit="fals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45" fillId="0" borderId="8" xfId="0" applyFont="true" applyBorder="true" applyAlignment="true" applyProtection="true">
      <alignment horizontal="general" vertical="bottom" textRotation="0" wrapText="false" indent="0" shrinkToFit="false"/>
      <protection locked="fals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24" xfId="0" applyFont="false" applyBorder="true" applyAlignment="true" applyProtection="true">
      <alignment horizontal="general" vertical="bottom" textRotation="0" wrapText="false" indent="0" shrinkToFit="false"/>
      <protection locked="true" hidden="false"/>
    </xf>
    <xf numFmtId="164" fontId="55" fillId="3" borderId="8" xfId="0" applyFont="true" applyBorder="true" applyAlignment="true" applyProtection="true">
      <alignment horizontal="general" vertical="bottom" textRotation="0" wrapText="false" indent="0" shrinkToFit="false"/>
      <protection locked="true" hidden="false"/>
    </xf>
    <xf numFmtId="176" fontId="45" fillId="0" borderId="11" xfId="15" applyFont="true" applyBorder="true" applyAlignment="true" applyProtection="true">
      <alignment horizontal="general" vertical="bottom" textRotation="0" wrapText="false" indent="0" shrinkToFit="false"/>
      <protection locked="true" hidden="false"/>
    </xf>
    <xf numFmtId="164" fontId="0" fillId="0" borderId="37"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79" fontId="45" fillId="0" borderId="8" xfId="19" applyFont="true" applyBorder="true" applyAlignment="true" applyProtection="true">
      <alignment horizontal="general" vertical="bottom" textRotation="0" wrapText="false" indent="0" shrinkToFit="false"/>
      <protection locked="true" hidden="false"/>
    </xf>
    <xf numFmtId="164" fontId="55" fillId="3" borderId="14" xfId="0" applyFont="true" applyBorder="true" applyAlignment="true" applyProtection="true">
      <alignment horizontal="general" vertical="bottom" textRotation="0" wrapText="false" indent="0" shrinkToFit="false"/>
      <protection locked="true" hidden="false"/>
    </xf>
    <xf numFmtId="180" fontId="45" fillId="0" borderId="13" xfId="19" applyFont="true" applyBorder="true" applyAlignment="true" applyProtection="true">
      <alignment horizontal="general" vertical="bottom" textRotation="0" wrapText="false" indent="0" shrinkToFit="false"/>
      <protection locked="true" hidden="false"/>
    </xf>
    <xf numFmtId="164" fontId="0" fillId="0" borderId="47" xfId="0" applyFont="false" applyBorder="true" applyAlignment="true" applyProtection="true">
      <alignment horizontal="general" vertical="bottom" textRotation="0" wrapText="false" indent="0" shrinkToFit="false"/>
      <protection locked="true" hidden="false"/>
    </xf>
    <xf numFmtId="164" fontId="0" fillId="0" borderId="48" xfId="0" applyFont="false" applyBorder="true" applyAlignment="true" applyProtection="true">
      <alignment horizontal="general" vertical="bottom" textRotation="0" wrapText="false" indent="0" shrinkToFit="false"/>
      <protection locked="true" hidden="false"/>
    </xf>
    <xf numFmtId="172" fontId="45" fillId="0" borderId="8" xfId="19" applyFont="true" applyBorder="true" applyAlignment="true" applyProtection="true">
      <alignment horizontal="general" vertical="bottom" textRotation="0" wrapText="false" indent="0" shrinkToFit="false"/>
      <protection locked="true" hidden="false"/>
    </xf>
    <xf numFmtId="164" fontId="45" fillId="3" borderId="42" xfId="0" applyFont="true" applyBorder="true" applyAlignment="true" applyProtection="true">
      <alignment horizontal="center" vertical="bottom" textRotation="0" wrapText="false" indent="0" shrinkToFit="false"/>
      <protection locked="true" hidden="false"/>
    </xf>
    <xf numFmtId="164" fontId="45" fillId="3" borderId="43" xfId="0" applyFont="true" applyBorder="true" applyAlignment="true" applyProtection="true">
      <alignment horizontal="center" vertical="bottom" textRotation="0" wrapText="false" indent="0" shrinkToFit="false"/>
      <protection locked="true" hidden="false"/>
    </xf>
    <xf numFmtId="164" fontId="45" fillId="3" borderId="49" xfId="0" applyFont="true" applyBorder="true" applyAlignment="true" applyProtection="true">
      <alignment horizontal="center" vertical="bottom" textRotation="0" wrapText="false" indent="0" shrinkToFit="false"/>
      <protection locked="true" hidden="false"/>
    </xf>
    <xf numFmtId="164" fontId="45" fillId="3" borderId="50" xfId="0" applyFont="true" applyBorder="true" applyAlignment="true" applyProtection="true">
      <alignment horizontal="center" vertical="bottom" textRotation="0" wrapText="false" indent="0" shrinkToFit="false"/>
      <protection locked="true" hidden="false"/>
    </xf>
    <xf numFmtId="164" fontId="55" fillId="0" borderId="42" xfId="0" applyFont="true" applyBorder="true" applyAlignment="true" applyProtection="true">
      <alignment horizontal="general" vertical="bottom" textRotation="0" wrapText="false" indent="0" shrinkToFit="false"/>
      <protection locked="true" hidden="false"/>
    </xf>
    <xf numFmtId="164" fontId="55" fillId="0" borderId="43" xfId="0" applyFont="true" applyBorder="true" applyAlignment="true" applyProtection="true">
      <alignment horizontal="general" vertical="bottom" textRotation="0" wrapText="false" indent="0" shrinkToFit="false"/>
      <protection locked="true" hidden="false"/>
    </xf>
    <xf numFmtId="164" fontId="55" fillId="0" borderId="50"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76" fontId="0" fillId="0" borderId="11" xfId="15" applyFont="tru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general" vertical="bottom" textRotation="0" wrapText="false" indent="0" shrinkToFit="false"/>
      <protection locked="true" hidden="false"/>
    </xf>
    <xf numFmtId="166" fontId="0" fillId="0" borderId="11" xfId="0" applyFont="false" applyBorder="true" applyAlignment="true" applyProtection="true">
      <alignment horizontal="general" vertical="bottom" textRotation="0" wrapText="false" indent="0" shrinkToFit="false"/>
      <protection locked="true" hidden="false"/>
    </xf>
    <xf numFmtId="176" fontId="0" fillId="0" borderId="8" xfId="15" applyFont="true" applyBorder="true" applyAlignment="true" applyProtection="true">
      <alignment horizontal="general" vertical="bottom" textRotation="0" wrapText="false" indent="0" shrinkToFit="false"/>
      <protection locked="true" hidden="false"/>
    </xf>
    <xf numFmtId="176" fontId="0" fillId="0" borderId="37" xfId="15" applyFont="true" applyBorder="true" applyAlignment="true" applyProtection="true">
      <alignment horizontal="general" vertical="bottom" textRotation="0" wrapText="false" indent="0" shrinkToFit="false"/>
      <protection locked="true" hidden="false"/>
    </xf>
    <xf numFmtId="176" fontId="0" fillId="0" borderId="7" xfId="15" applyFont="tru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78" fontId="0" fillId="0" borderId="18" xfId="0" applyFont="false" applyBorder="true" applyAlignment="true" applyProtection="true">
      <alignment horizontal="general" vertical="bottom" textRotation="0" wrapText="false" indent="0" shrinkToFit="false"/>
      <protection locked="true" hidden="false"/>
    </xf>
    <xf numFmtId="176" fontId="0" fillId="0" borderId="18" xfId="15" applyFont="tru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76" fontId="0" fillId="0" borderId="51" xfId="15" applyFont="true" applyBorder="true" applyAlignment="true" applyProtection="true">
      <alignment horizontal="general" vertical="bottom" textRotation="0" wrapText="false" indent="0" shrinkToFit="false"/>
      <protection locked="true" hidden="false"/>
    </xf>
    <xf numFmtId="176" fontId="0" fillId="0" borderId="17" xfId="15" applyFont="true" applyBorder="true" applyAlignment="true" applyProtection="true">
      <alignment horizontal="general" vertical="bottom" textRotation="0" wrapText="false" indent="0" shrinkToFit="false"/>
      <protection locked="true" hidden="false"/>
    </xf>
    <xf numFmtId="165" fontId="57" fillId="0"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5" fontId="49" fillId="14" borderId="8" xfId="0" applyFont="true" applyBorder="true" applyAlignment="true" applyProtection="true">
      <alignment horizontal="center" vertical="bottom" textRotation="0" wrapText="false" indent="0" shrinkToFit="false"/>
      <protection locked="true" hidden="false"/>
    </xf>
    <xf numFmtId="165" fontId="49" fillId="0" borderId="8" xfId="0" applyFont="true" applyBorder="true" applyAlignment="true" applyProtection="true">
      <alignment horizontal="center" vertical="bottom" textRotation="0" wrapText="false" indent="0" shrinkToFit="false"/>
      <protection locked="true" hidden="true"/>
    </xf>
    <xf numFmtId="165" fontId="48" fillId="0" borderId="8" xfId="0" applyFont="true" applyBorder="true" applyAlignment="true" applyProtection="true">
      <alignment horizontal="general" vertical="bottom" textRotation="0" wrapText="true" indent="0" shrinkToFit="false"/>
      <protection locked="true" hidden="true"/>
    </xf>
    <xf numFmtId="165" fontId="49" fillId="14" borderId="8" xfId="0" applyFont="true" applyBorder="true" applyAlignment="true" applyProtection="true">
      <alignment horizontal="center" vertical="center" textRotation="0" wrapText="false" indent="0" shrinkToFit="false"/>
      <protection locked="true" hidden="true"/>
    </xf>
    <xf numFmtId="165" fontId="49" fillId="14" borderId="8" xfId="0" applyFont="true" applyBorder="true" applyAlignment="true" applyProtection="true">
      <alignment horizontal="center" vertical="center" textRotation="0" wrapText="true" indent="0" shrinkToFit="false"/>
      <protection locked="true" hidden="true"/>
    </xf>
    <xf numFmtId="165" fontId="49" fillId="0" borderId="8" xfId="0" applyFont="true" applyBorder="true" applyAlignment="true" applyProtection="true">
      <alignment horizontal="center" vertical="center" textRotation="0" wrapText="false" indent="0" shrinkToFit="false"/>
      <protection locked="true" hidden="true"/>
    </xf>
    <xf numFmtId="165" fontId="49" fillId="0" borderId="8" xfId="0" applyFont="true" applyBorder="true" applyAlignment="true" applyProtection="true">
      <alignment horizontal="left" vertical="center" textRotation="0" wrapText="true" indent="0" shrinkToFit="false"/>
      <protection locked="true" hidden="true"/>
    </xf>
    <xf numFmtId="165" fontId="48" fillId="0" borderId="8" xfId="0" applyFont="true" applyBorder="true" applyAlignment="true" applyProtection="true">
      <alignment horizontal="left" vertical="center" textRotation="0" wrapText="true" indent="0" shrinkToFit="false"/>
      <protection locked="true" hidden="true"/>
    </xf>
    <xf numFmtId="165" fontId="49" fillId="0" borderId="8" xfId="0" applyFont="true" applyBorder="true" applyAlignment="true" applyProtection="true">
      <alignment horizontal="center" vertical="center" textRotation="0" wrapText="false" indent="0" shrinkToFit="false"/>
      <protection locked="true" hidden="false"/>
    </xf>
    <xf numFmtId="164" fontId="58" fillId="0" borderId="0" xfId="0" applyFont="true" applyBorder="true" applyAlignment="true" applyProtection="true">
      <alignment horizontal="center" vertical="bottom" textRotation="0" wrapText="false" indent="0" shrinkToFit="false"/>
      <protection locked="true" hidden="false"/>
    </xf>
    <xf numFmtId="164" fontId="59" fillId="0" borderId="30" xfId="0" applyFont="true" applyBorder="true" applyAlignment="true" applyProtection="true">
      <alignment horizontal="center"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55" fillId="10" borderId="8" xfId="0" applyFont="true" applyBorder="true" applyAlignment="true" applyProtection="true">
      <alignment horizontal="center" vertical="bottom" textRotation="0" wrapText="false" indent="0" shrinkToFit="false"/>
      <protection locked="true" hidden="false"/>
    </xf>
    <xf numFmtId="167" fontId="0" fillId="0" borderId="8" xfId="0" applyFont="false" applyBorder="true" applyAlignment="true" applyProtection="true">
      <alignment horizontal="general" vertical="bottom" textRotation="0" wrapText="false" indent="0" shrinkToFit="false"/>
      <protection locked="true" hidden="false"/>
    </xf>
    <xf numFmtId="167" fontId="0" fillId="0" borderId="13" xfId="0" applyFont="fals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6">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E800"/>
      <rgbColor rgb="FF00FFFF"/>
      <rgbColor rgb="FF800080"/>
      <rgbColor rgb="FF800000"/>
      <rgbColor rgb="FF008080"/>
      <rgbColor rgb="FF0000FF"/>
      <rgbColor rgb="FF00CCFF"/>
      <rgbColor rgb="FFCCFFFF"/>
      <rgbColor rgb="FFCCFFCC"/>
      <rgbColor rgb="FFFFFF99"/>
      <rgbColor rgb="FF99CCFF"/>
      <rgbColor rgb="FFFF99CC"/>
      <rgbColor rgb="FFCC99FF"/>
      <rgbColor rgb="FFC9C9C9"/>
      <rgbColor rgb="FF3366FF"/>
      <rgbColor rgb="FF33CCCC"/>
      <rgbColor rgb="FF99CC00"/>
      <rgbColor rgb="FFFFCC00"/>
      <rgbColor rgb="FFFFC0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388800</xdr:colOff>
      <xdr:row>68</xdr:row>
      <xdr:rowOff>45720</xdr:rowOff>
    </xdr:from>
    <xdr:to>
      <xdr:col>2</xdr:col>
      <xdr:colOff>923760</xdr:colOff>
      <xdr:row>68</xdr:row>
      <xdr:rowOff>474120</xdr:rowOff>
    </xdr:to>
    <xdr:sp>
      <xdr:nvSpPr>
        <xdr:cNvPr id="0" name="Texto 5_0"/>
        <xdr:cNvSpPr/>
      </xdr:nvSpPr>
      <xdr:spPr>
        <a:xfrm>
          <a:off x="2876040" y="3693600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1</xdr:col>
      <xdr:colOff>76320</xdr:colOff>
      <xdr:row>1</xdr:row>
      <xdr:rowOff>76320</xdr:rowOff>
    </xdr:from>
    <xdr:to>
      <xdr:col>16</xdr:col>
      <xdr:colOff>5065920</xdr:colOff>
      <xdr:row>3</xdr:row>
      <xdr:rowOff>24480</xdr:rowOff>
    </xdr:to>
    <xdr:pic>
      <xdr:nvPicPr>
        <xdr:cNvPr id="1" name="Imagen 1_ 1" descr=""/>
        <xdr:cNvPicPr/>
      </xdr:nvPicPr>
      <xdr:blipFill>
        <a:blip r:embed="rId1"/>
        <a:stretch/>
      </xdr:blipFill>
      <xdr:spPr>
        <a:xfrm>
          <a:off x="590040" y="809640"/>
          <a:ext cx="29224440" cy="2500920"/>
        </a:xfrm>
        <a:prstGeom prst="rect">
          <a:avLst/>
        </a:prstGeom>
        <a:ln w="0">
          <a:noFill/>
        </a:ln>
      </xdr:spPr>
    </xdr:pic>
    <xdr:clientData/>
  </xdr:twoCellAnchor>
  <xdr:twoCellAnchor editAs="twoCell">
    <xdr:from>
      <xdr:col>2</xdr:col>
      <xdr:colOff>373320</xdr:colOff>
      <xdr:row>66</xdr:row>
      <xdr:rowOff>83880</xdr:rowOff>
    </xdr:from>
    <xdr:to>
      <xdr:col>2</xdr:col>
      <xdr:colOff>908280</xdr:colOff>
      <xdr:row>66</xdr:row>
      <xdr:rowOff>512280</xdr:rowOff>
    </xdr:to>
    <xdr:sp>
      <xdr:nvSpPr>
        <xdr:cNvPr id="2" name="Texto 5_ 1"/>
        <xdr:cNvSpPr/>
      </xdr:nvSpPr>
      <xdr:spPr>
        <a:xfrm>
          <a:off x="2860560" y="3581208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358200</xdr:colOff>
      <xdr:row>64</xdr:row>
      <xdr:rowOff>23040</xdr:rowOff>
    </xdr:from>
    <xdr:to>
      <xdr:col>2</xdr:col>
      <xdr:colOff>900720</xdr:colOff>
      <xdr:row>65</xdr:row>
      <xdr:rowOff>16920</xdr:rowOff>
    </xdr:to>
    <xdr:sp>
      <xdr:nvSpPr>
        <xdr:cNvPr id="3" name="Texto 5_ 2"/>
        <xdr:cNvSpPr/>
      </xdr:nvSpPr>
      <xdr:spPr>
        <a:xfrm>
          <a:off x="2845440" y="34732080"/>
          <a:ext cx="542520" cy="4320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77</xdr:row>
      <xdr:rowOff>45720</xdr:rowOff>
    </xdr:from>
    <xdr:to>
      <xdr:col>2</xdr:col>
      <xdr:colOff>923760</xdr:colOff>
      <xdr:row>77</xdr:row>
      <xdr:rowOff>474120</xdr:rowOff>
    </xdr:to>
    <xdr:sp>
      <xdr:nvSpPr>
        <xdr:cNvPr id="4" name="Texto 5_ 3"/>
        <xdr:cNvSpPr/>
      </xdr:nvSpPr>
      <xdr:spPr>
        <a:xfrm>
          <a:off x="2876040" y="4280328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396360</xdr:colOff>
      <xdr:row>76</xdr:row>
      <xdr:rowOff>38160</xdr:rowOff>
    </xdr:from>
    <xdr:to>
      <xdr:col>2</xdr:col>
      <xdr:colOff>931320</xdr:colOff>
      <xdr:row>76</xdr:row>
      <xdr:rowOff>466560</xdr:rowOff>
    </xdr:to>
    <xdr:sp>
      <xdr:nvSpPr>
        <xdr:cNvPr id="5" name="Texto 5_ 4"/>
        <xdr:cNvSpPr/>
      </xdr:nvSpPr>
      <xdr:spPr>
        <a:xfrm>
          <a:off x="2883600" y="4221504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75</xdr:row>
      <xdr:rowOff>45720</xdr:rowOff>
    </xdr:from>
    <xdr:to>
      <xdr:col>2</xdr:col>
      <xdr:colOff>923760</xdr:colOff>
      <xdr:row>75</xdr:row>
      <xdr:rowOff>474120</xdr:rowOff>
    </xdr:to>
    <xdr:sp>
      <xdr:nvSpPr>
        <xdr:cNvPr id="6" name="Texto 5_ 5"/>
        <xdr:cNvSpPr/>
      </xdr:nvSpPr>
      <xdr:spPr>
        <a:xfrm>
          <a:off x="2876040" y="4164156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58</xdr:row>
      <xdr:rowOff>45720</xdr:rowOff>
    </xdr:from>
    <xdr:to>
      <xdr:col>2</xdr:col>
      <xdr:colOff>923760</xdr:colOff>
      <xdr:row>58</xdr:row>
      <xdr:rowOff>474120</xdr:rowOff>
    </xdr:to>
    <xdr:sp>
      <xdr:nvSpPr>
        <xdr:cNvPr id="7" name="Texto 5_ 6"/>
        <xdr:cNvSpPr/>
      </xdr:nvSpPr>
      <xdr:spPr>
        <a:xfrm>
          <a:off x="2876040" y="3052584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373320</xdr:colOff>
      <xdr:row>56</xdr:row>
      <xdr:rowOff>83880</xdr:rowOff>
    </xdr:from>
    <xdr:to>
      <xdr:col>2</xdr:col>
      <xdr:colOff>908280</xdr:colOff>
      <xdr:row>56</xdr:row>
      <xdr:rowOff>512280</xdr:rowOff>
    </xdr:to>
    <xdr:sp>
      <xdr:nvSpPr>
        <xdr:cNvPr id="8" name="Texto 5_ 7"/>
        <xdr:cNvSpPr/>
      </xdr:nvSpPr>
      <xdr:spPr>
        <a:xfrm>
          <a:off x="2860560" y="29401920"/>
          <a:ext cx="534960" cy="428400"/>
        </a:xfrm>
        <a:prstGeom prst="rect">
          <a:avLst/>
        </a:prstGeom>
        <a:solidFill>
          <a:srgbClr val="ffffff"/>
        </a:solidFill>
        <a:ln cap="sq" w="9360">
          <a:solidFill>
            <a:srgbClr val="000000"/>
          </a:solidFill>
          <a:miter/>
        </a:ln>
      </xdr:spPr>
      <xdr:style>
        <a:lnRef idx="0"/>
        <a:fillRef idx="0"/>
        <a:effectRef idx="0"/>
        <a:fontRef idx="minor"/>
      </xdr:style>
    </xdr:sp>
    <xdr:clientData/>
  </xdr:twoCellAnchor>
  <xdr:twoCellAnchor editAs="twoCell">
    <xdr:from>
      <xdr:col>2</xdr:col>
      <xdr:colOff>388800</xdr:colOff>
      <xdr:row>54</xdr:row>
      <xdr:rowOff>7560</xdr:rowOff>
    </xdr:from>
    <xdr:to>
      <xdr:col>2</xdr:col>
      <xdr:colOff>931320</xdr:colOff>
      <xdr:row>55</xdr:row>
      <xdr:rowOff>9360</xdr:rowOff>
    </xdr:to>
    <xdr:sp>
      <xdr:nvSpPr>
        <xdr:cNvPr id="9" name="Texto 5_ 8"/>
        <xdr:cNvSpPr/>
      </xdr:nvSpPr>
      <xdr:spPr>
        <a:xfrm>
          <a:off x="2876040" y="28306440"/>
          <a:ext cx="542520" cy="439920"/>
        </a:xfrm>
        <a:prstGeom prst="rect">
          <a:avLst/>
        </a:prstGeom>
        <a:solidFill>
          <a:srgbClr val="ffffff"/>
        </a:solidFill>
        <a:ln cap="sq" w="9360">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864720</xdr:colOff>
      <xdr:row>4</xdr:row>
      <xdr:rowOff>16920</xdr:rowOff>
    </xdr:to>
    <xdr:pic>
      <xdr:nvPicPr>
        <xdr:cNvPr id="10" name="Imagen 1" descr=""/>
        <xdr:cNvPicPr/>
      </xdr:nvPicPr>
      <xdr:blipFill>
        <a:blip r:embed="rId1"/>
        <a:stretch/>
      </xdr:blipFill>
      <xdr:spPr>
        <a:xfrm>
          <a:off x="0" y="7560"/>
          <a:ext cx="8214840" cy="6570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7560</xdr:rowOff>
    </xdr:from>
    <xdr:to>
      <xdr:col>7</xdr:col>
      <xdr:colOff>832320</xdr:colOff>
      <xdr:row>4</xdr:row>
      <xdr:rowOff>16920</xdr:rowOff>
    </xdr:to>
    <xdr:pic>
      <xdr:nvPicPr>
        <xdr:cNvPr id="11" name="Imagen 1" descr=""/>
        <xdr:cNvPicPr/>
      </xdr:nvPicPr>
      <xdr:blipFill>
        <a:blip r:embed="rId1"/>
        <a:stretch/>
      </xdr:blipFill>
      <xdr:spPr>
        <a:xfrm>
          <a:off x="0" y="7560"/>
          <a:ext cx="8182440" cy="657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V136"/>
  <sheetViews>
    <sheetView showFormulas="false" showGridLines="true" showRowColHeaders="true" showZeros="true" rightToLeft="false" tabSelected="true" showOutlineSymbols="true" defaultGridColor="true" view="normal" topLeftCell="A1" colorId="64" zoomScale="40" zoomScaleNormal="40" zoomScalePageLayoutView="100" workbookViewId="0">
      <selection pane="topLeft" activeCell="B40" activeCellId="0" sqref="B40"/>
    </sheetView>
  </sheetViews>
  <sheetFormatPr defaultColWidth="11.2890625" defaultRowHeight="12.75" zeroHeight="true" outlineLevelRow="0" outlineLevelCol="0"/>
  <cols>
    <col collapsed="false" customWidth="true" hidden="false" outlineLevel="0" max="1" min="1" style="1" width="7.29"/>
    <col collapsed="false" customWidth="true" hidden="false" outlineLevel="0" max="2" min="2" style="2" width="28"/>
    <col collapsed="false" customWidth="true" hidden="false" outlineLevel="0" max="3" min="3" style="1" width="44.85"/>
    <col collapsed="false" customWidth="true" hidden="false" outlineLevel="0" max="4" min="4" style="1" width="21.57"/>
    <col collapsed="false" customWidth="true" hidden="false" outlineLevel="0" max="5" min="5" style="1" width="13.42"/>
    <col collapsed="false" customWidth="true" hidden="false" outlineLevel="0" max="6" min="6" style="1" width="14.57"/>
    <col collapsed="false" customWidth="true" hidden="false" outlineLevel="0" max="7" min="7" style="1" width="27.86"/>
    <col collapsed="false" customWidth="true" hidden="false" outlineLevel="0" max="8" min="8" style="1" width="12"/>
    <col collapsed="false" customWidth="true" hidden="false" outlineLevel="0" max="9" min="9" style="1" width="14.14"/>
    <col collapsed="false" customWidth="true" hidden="false" outlineLevel="0" max="10" min="10" style="1" width="40"/>
    <col collapsed="false" customWidth="false" hidden="false" outlineLevel="0" max="11" min="11" style="1" width="11.29"/>
    <col collapsed="false" customWidth="true" hidden="false" outlineLevel="0" max="12" min="12" style="1" width="24.57"/>
    <col collapsed="false" customWidth="true" hidden="false" outlineLevel="0" max="13" min="13" style="1" width="14.57"/>
    <col collapsed="false" customWidth="true" hidden="false" outlineLevel="0" max="14" min="14" style="1" width="20"/>
    <col collapsed="false" customWidth="true" hidden="false" outlineLevel="0" max="15" min="15" style="1" width="12.86"/>
    <col collapsed="false" customWidth="true" hidden="false" outlineLevel="0" max="16" min="16" style="1" width="44.14"/>
    <col collapsed="false" customWidth="true" hidden="false" outlineLevel="0" max="17" min="17" style="1" width="72.14"/>
    <col collapsed="false" customWidth="true" hidden="false" outlineLevel="0" max="18" min="18" style="1" width="4.86"/>
    <col collapsed="false" customWidth="false" hidden="false" outlineLevel="0" max="58" min="19" style="3" width="11.29"/>
    <col collapsed="false" customWidth="false" hidden="false" outlineLevel="0" max="16384" min="59" style="1" width="11.29"/>
  </cols>
  <sheetData>
    <row r="1" customFormat="false" ht="57.75" hidden="false" customHeight="true" outlineLevel="0" collapsed="false">
      <c r="B1" s="4"/>
      <c r="C1" s="4"/>
      <c r="D1" s="4"/>
      <c r="E1" s="4"/>
      <c r="F1" s="4"/>
      <c r="G1" s="4"/>
      <c r="H1" s="4"/>
      <c r="I1" s="4"/>
      <c r="J1" s="4"/>
      <c r="K1" s="4"/>
      <c r="L1" s="4"/>
      <c r="M1" s="4"/>
      <c r="N1" s="4"/>
      <c r="O1" s="4"/>
      <c r="P1" s="4"/>
      <c r="Q1" s="4"/>
    </row>
    <row r="2" customFormat="false" ht="66.75" hidden="false" customHeight="true" outlineLevel="0" collapsed="false">
      <c r="A2" s="5"/>
      <c r="B2" s="6"/>
      <c r="C2" s="6"/>
      <c r="D2" s="6"/>
      <c r="E2" s="6"/>
      <c r="F2" s="6"/>
      <c r="G2" s="6"/>
      <c r="H2" s="6"/>
      <c r="I2" s="6"/>
      <c r="J2" s="6"/>
      <c r="K2" s="6"/>
      <c r="L2" s="6"/>
      <c r="M2" s="6"/>
      <c r="N2" s="6"/>
      <c r="O2" s="6"/>
      <c r="P2" s="6"/>
      <c r="Q2" s="6"/>
      <c r="IH2" s="7"/>
      <c r="II2" s="7"/>
      <c r="IJ2" s="7"/>
      <c r="IK2" s="7"/>
      <c r="IL2" s="7"/>
      <c r="IM2" s="7"/>
      <c r="IN2" s="7"/>
      <c r="IO2" s="7"/>
      <c r="IP2" s="7"/>
      <c r="IQ2" s="7"/>
      <c r="IR2" s="7"/>
      <c r="IS2" s="7"/>
      <c r="IT2" s="7"/>
      <c r="IU2" s="7"/>
      <c r="IV2" s="7"/>
    </row>
    <row r="3" customFormat="false" ht="134.25" hidden="false" customHeight="true" outlineLevel="0" collapsed="false">
      <c r="B3" s="6"/>
      <c r="C3" s="6"/>
      <c r="D3" s="6"/>
      <c r="E3" s="6"/>
      <c r="F3" s="6"/>
      <c r="G3" s="6"/>
      <c r="H3" s="6"/>
      <c r="I3" s="6"/>
      <c r="J3" s="6"/>
      <c r="K3" s="6"/>
      <c r="L3" s="6"/>
      <c r="M3" s="6"/>
      <c r="N3" s="6"/>
      <c r="O3" s="6"/>
      <c r="P3" s="6"/>
      <c r="Q3" s="6"/>
    </row>
    <row r="4" customFormat="false" ht="81.75" hidden="false" customHeight="true" outlineLevel="0" collapsed="false">
      <c r="B4" s="8" t="s">
        <v>0</v>
      </c>
      <c r="C4" s="8"/>
      <c r="D4" s="8"/>
      <c r="E4" s="8"/>
      <c r="F4" s="8"/>
      <c r="G4" s="8"/>
      <c r="H4" s="8"/>
      <c r="I4" s="8"/>
      <c r="J4" s="8"/>
      <c r="K4" s="8"/>
      <c r="L4" s="8"/>
      <c r="M4" s="8"/>
      <c r="N4" s="8"/>
      <c r="O4" s="8"/>
      <c r="P4" s="8"/>
      <c r="Q4" s="8"/>
    </row>
    <row r="5" customFormat="false" ht="41.25" hidden="false" customHeight="true" outlineLevel="0" collapsed="false">
      <c r="B5" s="9" t="s">
        <v>1</v>
      </c>
      <c r="C5" s="10" t="s">
        <v>2</v>
      </c>
      <c r="D5" s="10"/>
      <c r="E5" s="10"/>
      <c r="F5" s="10"/>
      <c r="G5" s="10"/>
      <c r="H5" s="11" t="s">
        <v>3</v>
      </c>
      <c r="I5" s="12" t="s">
        <v>4</v>
      </c>
      <c r="J5" s="12"/>
      <c r="K5" s="12"/>
      <c r="L5" s="12"/>
      <c r="M5" s="13" t="s">
        <v>5</v>
      </c>
      <c r="N5" s="13"/>
      <c r="O5" s="14" t="s">
        <v>6</v>
      </c>
      <c r="P5" s="15" t="str">
        <f aca="false">VLOOKUP(O5,'TIPOS DE PRÉSTAMO'!A2:B44,2,0)</f>
        <v>ORDINARIO SIN GARANTE</v>
      </c>
      <c r="Q5" s="15"/>
    </row>
    <row r="6" customFormat="false" ht="30" hidden="false" customHeight="true" outlineLevel="0" collapsed="false">
      <c r="B6" s="16" t="s">
        <v>7</v>
      </c>
      <c r="C6" s="17" t="s">
        <v>8</v>
      </c>
      <c r="D6" s="17"/>
      <c r="E6" s="17"/>
      <c r="F6" s="17"/>
      <c r="G6" s="17"/>
      <c r="H6" s="11"/>
      <c r="I6" s="12"/>
      <c r="J6" s="12"/>
      <c r="K6" s="12"/>
      <c r="L6" s="12"/>
      <c r="M6" s="18" t="s">
        <v>9</v>
      </c>
      <c r="N6" s="18"/>
      <c r="O6" s="19" t="s">
        <v>6</v>
      </c>
      <c r="P6" s="15" t="str">
        <f aca="false">VLOOKUP(O6,'TIPO DE CARTERA'!B29:C43,2,0)</f>
        <v>CONSUMO </v>
      </c>
      <c r="Q6" s="15"/>
    </row>
    <row r="7" customFormat="false" ht="30" hidden="false" customHeight="true" outlineLevel="0" collapsed="false">
      <c r="B7" s="16"/>
      <c r="C7" s="17"/>
      <c r="D7" s="17"/>
      <c r="E7" s="17"/>
      <c r="F7" s="17"/>
      <c r="G7" s="17"/>
      <c r="H7" s="11"/>
      <c r="I7" s="12"/>
      <c r="J7" s="12"/>
      <c r="K7" s="12"/>
      <c r="L7" s="12"/>
      <c r="M7" s="18" t="s">
        <v>10</v>
      </c>
      <c r="N7" s="18"/>
      <c r="O7" s="20" t="n">
        <v>7</v>
      </c>
      <c r="P7" s="15" t="str">
        <f aca="false">VLOOKUP(O7,'CÓDIGO OFICINA'!A5:B18,2)</f>
        <v>LAGO AGRIO</v>
      </c>
      <c r="Q7" s="15"/>
    </row>
    <row r="8" s="21" customFormat="true" ht="30" hidden="false" customHeight="true" outlineLevel="0" collapsed="false">
      <c r="B8" s="22" t="s">
        <v>11</v>
      </c>
      <c r="C8" s="22"/>
      <c r="D8" s="23" t="s">
        <v>12</v>
      </c>
      <c r="E8" s="24" t="s">
        <v>13</v>
      </c>
      <c r="F8" s="24"/>
      <c r="G8" s="23" t="s">
        <v>14</v>
      </c>
      <c r="H8" s="25" t="n">
        <v>30</v>
      </c>
      <c r="I8" s="25"/>
      <c r="J8" s="26" t="s">
        <v>15</v>
      </c>
      <c r="K8" s="27" t="s">
        <v>16</v>
      </c>
      <c r="L8" s="27"/>
      <c r="M8" s="23" t="s">
        <v>17</v>
      </c>
      <c r="N8" s="23"/>
      <c r="O8" s="23"/>
      <c r="P8" s="23"/>
      <c r="Q8" s="28" t="s">
        <v>18</v>
      </c>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row>
    <row r="9" customFormat="false" ht="48.75" hidden="false" customHeight="true" outlineLevel="0" collapsed="false">
      <c r="B9" s="30" t="n">
        <v>20000</v>
      </c>
      <c r="C9" s="30"/>
      <c r="D9" s="31" t="n">
        <v>0.155</v>
      </c>
      <c r="E9" s="32" t="n">
        <v>48</v>
      </c>
      <c r="F9" s="32"/>
      <c r="G9" s="33" t="str">
        <f aca="false">IF(H8=30,"Pagos Mensuales",IF(H8=60,"Pagos Bimestrales",IF(H8=90,"Pagos Trimestrales",IF(H8=180,"Pagos Semestrales",IF(H8=360,"Pagos Anuales")))))</f>
        <v>Pagos Mensuales</v>
      </c>
      <c r="H9" s="33"/>
      <c r="I9" s="33"/>
      <c r="J9" s="34" t="n">
        <f aca="false">IF(E9&gt;0,B9/(E9*30/H8)+B9*D9*H8/360,"")</f>
        <v>675</v>
      </c>
      <c r="K9" s="35" t="n">
        <f aca="false">IF(E9&gt;0,(B9*D9*H8/360)/(1-(1+(D9*H8/360))^-(30*E9/H8)),"")</f>
        <v>561.697177901045</v>
      </c>
      <c r="L9" s="35"/>
      <c r="M9" s="36" t="s">
        <v>19</v>
      </c>
      <c r="N9" s="37" t="str">
        <f aca="false">VLOOKUP(M9,'OFICIALES DE NEGOCIO'!D3:E95,2,0)</f>
        <v>JARAMILLO JIMENEZ CARLOS ISRAEL</v>
      </c>
      <c r="O9" s="37"/>
      <c r="P9" s="37"/>
      <c r="Q9" s="38" t="n">
        <v>46077</v>
      </c>
    </row>
    <row r="10" customFormat="false" ht="30" hidden="false" customHeight="true" outlineLevel="0" collapsed="false">
      <c r="B10" s="39" t="s">
        <v>20</v>
      </c>
      <c r="C10" s="39"/>
      <c r="D10" s="40" t="s">
        <v>21</v>
      </c>
      <c r="E10" s="40"/>
      <c r="F10" s="40"/>
      <c r="G10" s="40"/>
      <c r="H10" s="40"/>
      <c r="I10" s="40"/>
      <c r="J10" s="40"/>
      <c r="K10" s="40"/>
      <c r="L10" s="40"/>
      <c r="M10" s="40"/>
      <c r="N10" s="40"/>
      <c r="O10" s="40"/>
      <c r="P10" s="40"/>
      <c r="Q10" s="40"/>
    </row>
    <row r="11" customFormat="false" ht="39.75" hidden="false" customHeight="true" outlineLevel="0" collapsed="false">
      <c r="B11" s="41" t="s">
        <v>22</v>
      </c>
      <c r="C11" s="42" t="str">
        <f aca="false">VLOOKUP(B11,'SEGMENTOS DE CREDITO'!B6:C14,2,0)</f>
        <v>CONSUMO</v>
      </c>
      <c r="D11" s="43" t="str">
        <f aca="false">VLOOKUP(C11,'SEGMENTOS DE CREDITO'!C6:D14,2,0)</f>
        <v>Son aquellas operaciones otorgadas a personas naturales, destinado a la compra de bienes, servicios o gastos no relacionados con una actividad productiva, comercial y otras compras y gastos, se incluyen los créditos prendarios de joyas, así como para adquisición de vehículos livianos que no sean de uso para una actividad productiva y comercial.</v>
      </c>
      <c r="E11" s="43"/>
      <c r="F11" s="43"/>
      <c r="G11" s="43"/>
      <c r="H11" s="43"/>
      <c r="I11" s="43"/>
      <c r="J11" s="43"/>
      <c r="K11" s="43"/>
      <c r="L11" s="43"/>
      <c r="M11" s="43"/>
      <c r="N11" s="43"/>
      <c r="O11" s="43"/>
      <c r="P11" s="43"/>
      <c r="Q11" s="43"/>
    </row>
    <row r="12" customFormat="false" ht="59.25" hidden="false" customHeight="true" outlineLevel="0" collapsed="false">
      <c r="B12" s="41"/>
      <c r="C12" s="42"/>
      <c r="D12" s="43"/>
      <c r="E12" s="43"/>
      <c r="F12" s="43"/>
      <c r="G12" s="43"/>
      <c r="H12" s="43"/>
      <c r="I12" s="43"/>
      <c r="J12" s="43"/>
      <c r="K12" s="43"/>
      <c r="L12" s="43"/>
      <c r="M12" s="43"/>
      <c r="N12" s="43"/>
      <c r="O12" s="43"/>
      <c r="P12" s="43"/>
      <c r="Q12" s="43"/>
    </row>
    <row r="13" customFormat="false" ht="28.5" hidden="false" customHeight="true" outlineLevel="0" collapsed="false">
      <c r="B13" s="44" t="s">
        <v>23</v>
      </c>
      <c r="C13" s="44"/>
      <c r="D13" s="44"/>
      <c r="E13" s="44"/>
      <c r="F13" s="44"/>
      <c r="G13" s="44"/>
      <c r="H13" s="44"/>
      <c r="I13" s="44"/>
      <c r="J13" s="44"/>
      <c r="K13" s="44"/>
      <c r="L13" s="44"/>
      <c r="M13" s="44"/>
      <c r="N13" s="44"/>
      <c r="O13" s="44"/>
      <c r="P13" s="44"/>
      <c r="Q13" s="44"/>
    </row>
    <row r="14" customFormat="false" ht="28.5" hidden="false" customHeight="true" outlineLevel="0" collapsed="false">
      <c r="B14" s="45" t="s">
        <v>24</v>
      </c>
      <c r="C14" s="45"/>
      <c r="D14" s="45"/>
      <c r="E14" s="45"/>
      <c r="F14" s="45"/>
      <c r="G14" s="45"/>
      <c r="H14" s="45"/>
      <c r="I14" s="45"/>
      <c r="J14" s="45"/>
      <c r="K14" s="45"/>
      <c r="L14" s="45"/>
      <c r="M14" s="45"/>
      <c r="N14" s="45"/>
      <c r="O14" s="45"/>
      <c r="P14" s="45"/>
      <c r="Q14" s="45"/>
      <c r="R14" s="1" t="s">
        <v>25</v>
      </c>
    </row>
    <row r="15" customFormat="false" ht="28.5" hidden="false" customHeight="true" outlineLevel="0" collapsed="false">
      <c r="B15" s="45"/>
      <c r="C15" s="45"/>
      <c r="D15" s="45"/>
      <c r="E15" s="45"/>
      <c r="F15" s="45"/>
      <c r="G15" s="45"/>
      <c r="H15" s="45"/>
      <c r="I15" s="45"/>
      <c r="J15" s="45"/>
      <c r="K15" s="45"/>
      <c r="L15" s="45"/>
      <c r="M15" s="45"/>
      <c r="N15" s="45"/>
      <c r="O15" s="45"/>
      <c r="P15" s="45"/>
      <c r="Q15" s="45"/>
    </row>
    <row r="16" customFormat="false" ht="28.5" hidden="false" customHeight="true" outlineLevel="0" collapsed="false">
      <c r="B16" s="45"/>
      <c r="C16" s="45"/>
      <c r="D16" s="45"/>
      <c r="E16" s="45"/>
      <c r="F16" s="45"/>
      <c r="G16" s="45"/>
      <c r="H16" s="45"/>
      <c r="I16" s="45"/>
      <c r="J16" s="45"/>
      <c r="K16" s="45"/>
      <c r="L16" s="45"/>
      <c r="M16" s="45"/>
      <c r="N16" s="45"/>
      <c r="O16" s="45"/>
      <c r="P16" s="45"/>
      <c r="Q16" s="45"/>
    </row>
    <row r="17" customFormat="false" ht="28.5" hidden="false" customHeight="true" outlineLevel="0" collapsed="false">
      <c r="B17" s="45"/>
      <c r="C17" s="45"/>
      <c r="D17" s="45"/>
      <c r="E17" s="45"/>
      <c r="F17" s="45"/>
      <c r="G17" s="45"/>
      <c r="H17" s="45"/>
      <c r="I17" s="45"/>
      <c r="J17" s="45"/>
      <c r="K17" s="45"/>
      <c r="L17" s="45"/>
      <c r="M17" s="45"/>
      <c r="N17" s="45"/>
      <c r="O17" s="45"/>
      <c r="P17" s="45"/>
      <c r="Q17" s="45"/>
    </row>
    <row r="18" customFormat="false" ht="21" hidden="false" customHeight="true" outlineLevel="0" collapsed="false">
      <c r="B18" s="45"/>
      <c r="C18" s="45"/>
      <c r="D18" s="45"/>
      <c r="E18" s="45"/>
      <c r="F18" s="45"/>
      <c r="G18" s="45"/>
      <c r="H18" s="45"/>
      <c r="I18" s="45"/>
      <c r="J18" s="45"/>
      <c r="K18" s="45"/>
      <c r="L18" s="45"/>
      <c r="M18" s="45"/>
      <c r="N18" s="45"/>
      <c r="O18" s="45"/>
      <c r="P18" s="45"/>
      <c r="Q18" s="45"/>
    </row>
    <row r="19" customFormat="false" ht="85.5" hidden="false" customHeight="true" outlineLevel="0" collapsed="false">
      <c r="B19" s="45"/>
      <c r="C19" s="45"/>
      <c r="D19" s="45"/>
      <c r="E19" s="45"/>
      <c r="F19" s="45"/>
      <c r="G19" s="45"/>
      <c r="H19" s="45"/>
      <c r="I19" s="45"/>
      <c r="J19" s="45"/>
      <c r="K19" s="45"/>
      <c r="L19" s="45"/>
      <c r="M19" s="45"/>
      <c r="N19" s="45"/>
      <c r="O19" s="45"/>
      <c r="P19" s="45"/>
      <c r="Q19" s="45"/>
    </row>
    <row r="20" customFormat="false" ht="28.5" hidden="false" customHeight="true" outlineLevel="0" collapsed="false">
      <c r="B20" s="44" t="s">
        <v>26</v>
      </c>
      <c r="C20" s="44"/>
      <c r="D20" s="44"/>
      <c r="E20" s="44"/>
      <c r="F20" s="44"/>
      <c r="G20" s="44"/>
      <c r="H20" s="44"/>
      <c r="I20" s="44"/>
      <c r="J20" s="44"/>
      <c r="K20" s="44"/>
      <c r="L20" s="44"/>
      <c r="M20" s="44"/>
      <c r="N20" s="44"/>
      <c r="O20" s="44"/>
      <c r="P20" s="44"/>
      <c r="Q20" s="44"/>
    </row>
    <row r="21" customFormat="false" ht="31.5" hidden="false" customHeight="true" outlineLevel="0" collapsed="false">
      <c r="B21" s="46" t="s">
        <v>27</v>
      </c>
      <c r="C21" s="46"/>
      <c r="D21" s="46"/>
      <c r="E21" s="46"/>
      <c r="F21" s="46"/>
      <c r="G21" s="46"/>
      <c r="H21" s="46"/>
      <c r="I21" s="46"/>
      <c r="J21" s="46"/>
      <c r="K21" s="46"/>
      <c r="L21" s="46"/>
      <c r="M21" s="46"/>
      <c r="N21" s="46"/>
      <c r="O21" s="46"/>
      <c r="P21" s="46"/>
      <c r="Q21" s="46"/>
    </row>
    <row r="22" customFormat="false" ht="28.5" hidden="false" customHeight="true" outlineLevel="0" collapsed="false">
      <c r="B22" s="46"/>
      <c r="C22" s="46"/>
      <c r="D22" s="46"/>
      <c r="E22" s="46"/>
      <c r="F22" s="46"/>
      <c r="G22" s="46"/>
      <c r="H22" s="46"/>
      <c r="I22" s="46"/>
      <c r="J22" s="46"/>
      <c r="K22" s="46"/>
      <c r="L22" s="46"/>
      <c r="M22" s="46"/>
      <c r="N22" s="46"/>
      <c r="O22" s="46"/>
      <c r="P22" s="46"/>
      <c r="Q22" s="46"/>
    </row>
    <row r="23" customFormat="false" ht="28.5" hidden="false" customHeight="true" outlineLevel="0" collapsed="false">
      <c r="B23" s="46"/>
      <c r="C23" s="46"/>
      <c r="D23" s="46"/>
      <c r="E23" s="46"/>
      <c r="F23" s="46"/>
      <c r="G23" s="46"/>
      <c r="H23" s="46"/>
      <c r="I23" s="46"/>
      <c r="J23" s="46"/>
      <c r="K23" s="46"/>
      <c r="L23" s="46"/>
      <c r="M23" s="46"/>
      <c r="N23" s="46"/>
      <c r="O23" s="46"/>
      <c r="P23" s="46"/>
      <c r="Q23" s="46"/>
    </row>
    <row r="24" customFormat="false" ht="54" hidden="false" customHeight="true" outlineLevel="0" collapsed="false">
      <c r="B24" s="46"/>
      <c r="C24" s="46"/>
      <c r="D24" s="46"/>
      <c r="E24" s="46"/>
      <c r="F24" s="46"/>
      <c r="G24" s="46"/>
      <c r="H24" s="46"/>
      <c r="I24" s="46"/>
      <c r="J24" s="46"/>
      <c r="K24" s="46"/>
      <c r="L24" s="46"/>
      <c r="M24" s="46"/>
      <c r="N24" s="46"/>
      <c r="O24" s="46"/>
      <c r="P24" s="46"/>
      <c r="Q24" s="46"/>
    </row>
    <row r="25" customFormat="false" ht="52.5" hidden="false" customHeight="true" outlineLevel="0" collapsed="false">
      <c r="B25" s="46"/>
      <c r="C25" s="46"/>
      <c r="D25" s="46"/>
      <c r="E25" s="46"/>
      <c r="F25" s="46"/>
      <c r="G25" s="46"/>
      <c r="H25" s="46"/>
      <c r="I25" s="46"/>
      <c r="J25" s="46"/>
      <c r="K25" s="46"/>
      <c r="L25" s="46"/>
      <c r="M25" s="46"/>
      <c r="N25" s="46"/>
      <c r="O25" s="46"/>
      <c r="P25" s="46"/>
      <c r="Q25" s="46"/>
    </row>
    <row r="26" customFormat="false" ht="112.5" hidden="false" customHeight="true" outlineLevel="0" collapsed="false">
      <c r="B26" s="46"/>
      <c r="C26" s="46"/>
      <c r="D26" s="46"/>
      <c r="E26" s="46"/>
      <c r="F26" s="46"/>
      <c r="G26" s="46"/>
      <c r="H26" s="46"/>
      <c r="I26" s="46"/>
      <c r="J26" s="46"/>
      <c r="K26" s="46"/>
      <c r="L26" s="46"/>
      <c r="M26" s="46"/>
      <c r="N26" s="46"/>
      <c r="O26" s="46"/>
      <c r="P26" s="46"/>
      <c r="Q26" s="46"/>
    </row>
    <row r="27" customFormat="false" ht="30" hidden="false" customHeight="true" outlineLevel="0" collapsed="false">
      <c r="B27" s="44" t="s">
        <v>28</v>
      </c>
      <c r="C27" s="44"/>
      <c r="D27" s="44"/>
      <c r="E27" s="44"/>
      <c r="F27" s="44"/>
      <c r="G27" s="44"/>
      <c r="H27" s="44"/>
      <c r="I27" s="44"/>
      <c r="J27" s="44"/>
      <c r="K27" s="44"/>
      <c r="L27" s="44"/>
      <c r="M27" s="44"/>
      <c r="N27" s="44"/>
      <c r="O27" s="44"/>
      <c r="P27" s="44"/>
      <c r="Q27" s="44"/>
    </row>
    <row r="28" customFormat="false" ht="28.5" hidden="false" customHeight="true" outlineLevel="0" collapsed="false">
      <c r="B28" s="47" t="s">
        <v>29</v>
      </c>
      <c r="C28" s="47"/>
      <c r="D28" s="47"/>
      <c r="E28" s="47"/>
      <c r="F28" s="47"/>
      <c r="G28" s="47"/>
      <c r="H28" s="47"/>
      <c r="I28" s="47"/>
      <c r="J28" s="47"/>
      <c r="K28" s="47"/>
      <c r="L28" s="47"/>
      <c r="M28" s="47"/>
      <c r="N28" s="47"/>
      <c r="O28" s="47"/>
      <c r="P28" s="47"/>
      <c r="Q28" s="47"/>
    </row>
    <row r="29" customFormat="false" ht="28.5" hidden="false" customHeight="true" outlineLevel="0" collapsed="false">
      <c r="B29" s="47"/>
      <c r="C29" s="47"/>
      <c r="D29" s="47"/>
      <c r="E29" s="47"/>
      <c r="F29" s="47"/>
      <c r="G29" s="47"/>
      <c r="H29" s="47"/>
      <c r="I29" s="47"/>
      <c r="J29" s="47"/>
      <c r="K29" s="47"/>
      <c r="L29" s="47"/>
      <c r="M29" s="47"/>
      <c r="N29" s="47"/>
      <c r="O29" s="47"/>
      <c r="P29" s="47"/>
      <c r="Q29" s="47"/>
    </row>
    <row r="30" customFormat="false" ht="28.5" hidden="false" customHeight="true" outlineLevel="0" collapsed="false">
      <c r="B30" s="47"/>
      <c r="C30" s="47"/>
      <c r="D30" s="47"/>
      <c r="E30" s="47"/>
      <c r="F30" s="47"/>
      <c r="G30" s="47"/>
      <c r="H30" s="47"/>
      <c r="I30" s="47"/>
      <c r="J30" s="47"/>
      <c r="K30" s="47"/>
      <c r="L30" s="47"/>
      <c r="M30" s="47"/>
      <c r="N30" s="47"/>
      <c r="O30" s="47"/>
      <c r="P30" s="47"/>
      <c r="Q30" s="47"/>
    </row>
    <row r="31" customFormat="false" ht="14.25" hidden="false" customHeight="true" outlineLevel="0" collapsed="false">
      <c r="B31" s="47"/>
      <c r="C31" s="47"/>
      <c r="D31" s="47"/>
      <c r="E31" s="47"/>
      <c r="F31" s="47"/>
      <c r="G31" s="47"/>
      <c r="H31" s="47"/>
      <c r="I31" s="47"/>
      <c r="J31" s="47"/>
      <c r="K31" s="47"/>
      <c r="L31" s="47"/>
      <c r="M31" s="47"/>
      <c r="N31" s="47"/>
      <c r="O31" s="47"/>
      <c r="P31" s="47"/>
      <c r="Q31" s="47"/>
    </row>
    <row r="32" customFormat="false" ht="61.5" hidden="false" customHeight="true" outlineLevel="0" collapsed="false">
      <c r="B32" s="47"/>
      <c r="C32" s="47"/>
      <c r="D32" s="47"/>
      <c r="E32" s="47"/>
      <c r="F32" s="47"/>
      <c r="G32" s="47"/>
      <c r="H32" s="47"/>
      <c r="I32" s="47"/>
      <c r="J32" s="47"/>
      <c r="K32" s="47"/>
      <c r="L32" s="47"/>
      <c r="M32" s="47"/>
      <c r="N32" s="47"/>
      <c r="O32" s="47"/>
      <c r="P32" s="47"/>
      <c r="Q32" s="47"/>
    </row>
    <row r="33" customFormat="false" ht="32.25" hidden="false" customHeight="true" outlineLevel="0" collapsed="false">
      <c r="B33" s="44" t="s">
        <v>30</v>
      </c>
      <c r="C33" s="44"/>
      <c r="D33" s="44"/>
      <c r="E33" s="44"/>
      <c r="F33" s="44"/>
      <c r="G33" s="44"/>
      <c r="H33" s="44"/>
      <c r="I33" s="44"/>
      <c r="J33" s="44"/>
      <c r="K33" s="44"/>
      <c r="L33" s="44"/>
      <c r="M33" s="44"/>
      <c r="N33" s="44"/>
      <c r="O33" s="44"/>
      <c r="P33" s="44"/>
      <c r="Q33" s="44"/>
    </row>
    <row r="34" customFormat="false" ht="28.5" hidden="false" customHeight="true" outlineLevel="0" collapsed="false">
      <c r="B34" s="48" t="s">
        <v>31</v>
      </c>
      <c r="C34" s="48"/>
      <c r="D34" s="48"/>
      <c r="E34" s="48"/>
      <c r="F34" s="48"/>
      <c r="G34" s="48"/>
      <c r="H34" s="48"/>
      <c r="I34" s="48"/>
      <c r="J34" s="48"/>
      <c r="K34" s="48"/>
      <c r="L34" s="48"/>
      <c r="M34" s="48"/>
      <c r="N34" s="48"/>
      <c r="O34" s="48"/>
      <c r="P34" s="48"/>
      <c r="Q34" s="48"/>
    </row>
    <row r="35" customFormat="false" ht="28.5" hidden="false" customHeight="true" outlineLevel="0" collapsed="false">
      <c r="B35" s="48"/>
      <c r="C35" s="48"/>
      <c r="D35" s="48"/>
      <c r="E35" s="48"/>
      <c r="F35" s="48"/>
      <c r="G35" s="48"/>
      <c r="H35" s="48"/>
      <c r="I35" s="48"/>
      <c r="J35" s="48"/>
      <c r="K35" s="48"/>
      <c r="L35" s="48"/>
      <c r="M35" s="48"/>
      <c r="N35" s="48"/>
      <c r="O35" s="48"/>
      <c r="P35" s="48"/>
      <c r="Q35" s="48"/>
    </row>
    <row r="36" customFormat="false" ht="28.5" hidden="false" customHeight="true" outlineLevel="0" collapsed="false">
      <c r="B36" s="48"/>
      <c r="C36" s="48"/>
      <c r="D36" s="48"/>
      <c r="E36" s="48"/>
      <c r="F36" s="48"/>
      <c r="G36" s="48"/>
      <c r="H36" s="48"/>
      <c r="I36" s="48"/>
      <c r="J36" s="48"/>
      <c r="K36" s="48"/>
      <c r="L36" s="48"/>
      <c r="M36" s="48"/>
      <c r="N36" s="48"/>
      <c r="O36" s="48"/>
      <c r="P36" s="48"/>
      <c r="Q36" s="48"/>
    </row>
    <row r="37" customFormat="false" ht="19.5" hidden="false" customHeight="true" outlineLevel="0" collapsed="false">
      <c r="B37" s="48"/>
      <c r="C37" s="48"/>
      <c r="D37" s="48"/>
      <c r="E37" s="48"/>
      <c r="F37" s="48"/>
      <c r="G37" s="48"/>
      <c r="H37" s="48"/>
      <c r="I37" s="48"/>
      <c r="J37" s="48"/>
      <c r="K37" s="48"/>
      <c r="L37" s="48"/>
      <c r="M37" s="48"/>
      <c r="N37" s="48"/>
      <c r="O37" s="48"/>
      <c r="P37" s="48"/>
      <c r="Q37" s="48"/>
    </row>
    <row r="38" customFormat="false" ht="177" hidden="false" customHeight="true" outlineLevel="0" collapsed="false">
      <c r="B38" s="48"/>
      <c r="C38" s="48"/>
      <c r="D38" s="48"/>
      <c r="E38" s="48"/>
      <c r="F38" s="48"/>
      <c r="G38" s="48"/>
      <c r="H38" s="48"/>
      <c r="I38" s="48"/>
      <c r="J38" s="48"/>
      <c r="K38" s="48"/>
      <c r="L38" s="48"/>
      <c r="M38" s="48"/>
      <c r="N38" s="48"/>
      <c r="O38" s="48"/>
      <c r="P38" s="48"/>
      <c r="Q38" s="48"/>
    </row>
    <row r="39" customFormat="false" ht="28.5" hidden="false" customHeight="true" outlineLevel="0" collapsed="false">
      <c r="B39" s="44" t="s">
        <v>32</v>
      </c>
      <c r="C39" s="44"/>
      <c r="D39" s="44"/>
      <c r="E39" s="44"/>
      <c r="F39" s="44"/>
      <c r="G39" s="44"/>
      <c r="H39" s="44"/>
      <c r="I39" s="44"/>
      <c r="J39" s="44"/>
      <c r="K39" s="44"/>
      <c r="L39" s="44"/>
      <c r="M39" s="44"/>
      <c r="N39" s="44"/>
      <c r="O39" s="44"/>
      <c r="P39" s="44"/>
      <c r="Q39" s="44"/>
    </row>
    <row r="40" customFormat="false" ht="28.5" hidden="false" customHeight="true" outlineLevel="0" collapsed="false">
      <c r="B40" s="49" t="s">
        <v>33</v>
      </c>
      <c r="C40" s="49"/>
      <c r="D40" s="49"/>
      <c r="E40" s="49"/>
      <c r="F40" s="49"/>
      <c r="G40" s="49"/>
      <c r="H40" s="49"/>
      <c r="I40" s="49"/>
      <c r="J40" s="49"/>
      <c r="K40" s="49"/>
      <c r="L40" s="49"/>
      <c r="M40" s="49"/>
      <c r="N40" s="49"/>
      <c r="O40" s="49"/>
      <c r="P40" s="49"/>
      <c r="Q40" s="49"/>
    </row>
    <row r="41" customFormat="false" ht="28.5" hidden="false" customHeight="true" outlineLevel="0" collapsed="false">
      <c r="B41" s="49"/>
      <c r="C41" s="49"/>
      <c r="D41" s="49"/>
      <c r="E41" s="49"/>
      <c r="F41" s="49"/>
      <c r="G41" s="49"/>
      <c r="H41" s="49"/>
      <c r="I41" s="49"/>
      <c r="J41" s="49"/>
      <c r="K41" s="49"/>
      <c r="L41" s="49"/>
      <c r="M41" s="49"/>
      <c r="N41" s="49"/>
      <c r="O41" s="49"/>
      <c r="P41" s="49"/>
      <c r="Q41" s="49"/>
    </row>
    <row r="42" customFormat="false" ht="12" hidden="false" customHeight="true" outlineLevel="0" collapsed="false">
      <c r="B42" s="49"/>
      <c r="C42" s="49"/>
      <c r="D42" s="49"/>
      <c r="E42" s="49"/>
      <c r="F42" s="49"/>
      <c r="G42" s="49"/>
      <c r="H42" s="49"/>
      <c r="I42" s="49"/>
      <c r="J42" s="49"/>
      <c r="K42" s="49"/>
      <c r="L42" s="49"/>
      <c r="M42" s="49"/>
      <c r="N42" s="49"/>
      <c r="O42" s="49"/>
      <c r="P42" s="49"/>
      <c r="Q42" s="49"/>
    </row>
    <row r="43" customFormat="false" ht="10.5" hidden="false" customHeight="true" outlineLevel="0" collapsed="false">
      <c r="B43" s="49"/>
      <c r="C43" s="49"/>
      <c r="D43" s="49"/>
      <c r="E43" s="49"/>
      <c r="F43" s="49"/>
      <c r="G43" s="49"/>
      <c r="H43" s="49"/>
      <c r="I43" s="49"/>
      <c r="J43" s="49"/>
      <c r="K43" s="49"/>
      <c r="L43" s="49"/>
      <c r="M43" s="49"/>
      <c r="N43" s="49"/>
      <c r="O43" s="49"/>
      <c r="P43" s="49"/>
      <c r="Q43" s="49"/>
    </row>
    <row r="44" customFormat="false" ht="9" hidden="false" customHeight="true" outlineLevel="0" collapsed="false">
      <c r="B44" s="49"/>
      <c r="C44" s="49"/>
      <c r="D44" s="49"/>
      <c r="E44" s="49"/>
      <c r="F44" s="49"/>
      <c r="G44" s="49"/>
      <c r="H44" s="49"/>
      <c r="I44" s="49"/>
      <c r="J44" s="49"/>
      <c r="K44" s="49"/>
      <c r="L44" s="49"/>
      <c r="M44" s="49"/>
      <c r="N44" s="49"/>
      <c r="O44" s="49"/>
      <c r="P44" s="49"/>
      <c r="Q44" s="49"/>
    </row>
    <row r="45" customFormat="false" ht="29.25" hidden="false" customHeight="true" outlineLevel="0" collapsed="false">
      <c r="B45" s="50" t="s">
        <v>34</v>
      </c>
      <c r="C45" s="50"/>
      <c r="D45" s="50"/>
      <c r="E45" s="50"/>
      <c r="F45" s="50"/>
      <c r="G45" s="50"/>
      <c r="H45" s="50"/>
      <c r="I45" s="50"/>
      <c r="J45" s="50"/>
      <c r="K45" s="50"/>
      <c r="L45" s="50"/>
      <c r="M45" s="50"/>
      <c r="N45" s="50"/>
      <c r="O45" s="50"/>
      <c r="P45" s="51"/>
      <c r="Q45" s="51"/>
    </row>
    <row r="46" customFormat="false" ht="45" hidden="false" customHeight="true" outlineLevel="0" collapsed="false">
      <c r="B46" s="50"/>
      <c r="C46" s="50"/>
      <c r="D46" s="50"/>
      <c r="E46" s="50"/>
      <c r="F46" s="50"/>
      <c r="G46" s="50"/>
      <c r="H46" s="50"/>
      <c r="I46" s="50"/>
      <c r="J46" s="50"/>
      <c r="K46" s="50"/>
      <c r="L46" s="50"/>
      <c r="M46" s="50"/>
      <c r="N46" s="50"/>
      <c r="O46" s="50"/>
      <c r="P46" s="51"/>
      <c r="Q46" s="51"/>
    </row>
    <row r="47" customFormat="false" ht="45" hidden="false" customHeight="true" outlineLevel="0" collapsed="false">
      <c r="B47" s="50"/>
      <c r="C47" s="50"/>
      <c r="D47" s="50"/>
      <c r="E47" s="50"/>
      <c r="F47" s="50"/>
      <c r="G47" s="50"/>
      <c r="H47" s="50"/>
      <c r="I47" s="50"/>
      <c r="J47" s="50"/>
      <c r="K47" s="50"/>
      <c r="L47" s="50"/>
      <c r="M47" s="50"/>
      <c r="N47" s="50"/>
      <c r="O47" s="50"/>
      <c r="P47" s="51"/>
      <c r="Q47" s="51"/>
    </row>
    <row r="48" customFormat="false" ht="45" hidden="false" customHeight="true" outlineLevel="0" collapsed="false">
      <c r="B48" s="50"/>
      <c r="C48" s="50"/>
      <c r="D48" s="50"/>
      <c r="E48" s="50"/>
      <c r="F48" s="50"/>
      <c r="G48" s="50"/>
      <c r="H48" s="50"/>
      <c r="I48" s="50"/>
      <c r="J48" s="50"/>
      <c r="K48" s="50"/>
      <c r="L48" s="50"/>
      <c r="M48" s="50"/>
      <c r="N48" s="50"/>
      <c r="O48" s="50"/>
      <c r="P48" s="51"/>
      <c r="Q48" s="51"/>
    </row>
    <row r="49" customFormat="false" ht="16.5" hidden="false" customHeight="true" outlineLevel="0" collapsed="false">
      <c r="B49" s="50"/>
      <c r="C49" s="50"/>
      <c r="D49" s="50"/>
      <c r="E49" s="50"/>
      <c r="F49" s="50"/>
      <c r="G49" s="50"/>
      <c r="H49" s="50"/>
      <c r="I49" s="50"/>
      <c r="J49" s="50"/>
      <c r="K49" s="50"/>
      <c r="L49" s="50"/>
      <c r="M49" s="50"/>
      <c r="N49" s="50"/>
      <c r="O49" s="50"/>
      <c r="P49" s="51"/>
      <c r="Q49" s="51"/>
    </row>
    <row r="50" customFormat="false" ht="25.5" hidden="false" customHeight="true" outlineLevel="0" collapsed="false">
      <c r="B50" s="50"/>
      <c r="C50" s="50"/>
      <c r="D50" s="50"/>
      <c r="E50" s="50"/>
      <c r="F50" s="50"/>
      <c r="G50" s="50"/>
      <c r="H50" s="50"/>
      <c r="I50" s="50"/>
      <c r="J50" s="50"/>
      <c r="K50" s="50"/>
      <c r="L50" s="50"/>
      <c r="M50" s="50"/>
      <c r="N50" s="50"/>
      <c r="O50" s="50"/>
      <c r="P50" s="51"/>
      <c r="Q50" s="51"/>
    </row>
    <row r="51" customFormat="false" ht="37.5" hidden="false" customHeight="true" outlineLevel="0" collapsed="false">
      <c r="B51" s="50"/>
      <c r="C51" s="50"/>
      <c r="D51" s="50"/>
      <c r="E51" s="50"/>
      <c r="F51" s="50"/>
      <c r="G51" s="50"/>
      <c r="H51" s="50"/>
      <c r="I51" s="50"/>
      <c r="J51" s="50"/>
      <c r="K51" s="50"/>
      <c r="L51" s="50"/>
      <c r="M51" s="50"/>
      <c r="N51" s="50"/>
      <c r="O51" s="50"/>
      <c r="P51" s="52" t="str">
        <f aca="false">+N9</f>
        <v>JARAMILLO JIMENEZ CARLOS ISRAEL</v>
      </c>
      <c r="Q51" s="52"/>
    </row>
    <row r="52" customFormat="false" ht="39" hidden="false" customHeight="true" outlineLevel="0" collapsed="false">
      <c r="B52" s="50"/>
      <c r="C52" s="50"/>
      <c r="D52" s="50"/>
      <c r="E52" s="50"/>
      <c r="F52" s="50"/>
      <c r="G52" s="50"/>
      <c r="H52" s="50"/>
      <c r="I52" s="50"/>
      <c r="J52" s="50"/>
      <c r="K52" s="50"/>
      <c r="L52" s="50"/>
      <c r="M52" s="50"/>
      <c r="N52" s="50"/>
      <c r="O52" s="50"/>
      <c r="P52" s="53" t="n">
        <f aca="false">+Q9</f>
        <v>46077</v>
      </c>
      <c r="Q52" s="53"/>
    </row>
    <row r="53" customFormat="false" ht="54" hidden="false" customHeight="true" outlineLevel="0" collapsed="false">
      <c r="B53" s="54" t="s">
        <v>35</v>
      </c>
      <c r="C53" s="54"/>
      <c r="D53" s="54"/>
      <c r="E53" s="54"/>
      <c r="F53" s="54"/>
      <c r="G53" s="54"/>
      <c r="H53" s="54"/>
      <c r="I53" s="54"/>
      <c r="J53" s="54"/>
      <c r="K53" s="54"/>
      <c r="L53" s="54"/>
      <c r="M53" s="54"/>
      <c r="N53" s="54"/>
      <c r="O53" s="54"/>
      <c r="P53" s="54"/>
      <c r="Q53" s="55" t="s">
        <v>36</v>
      </c>
    </row>
    <row r="54" customFormat="false" ht="34.5" hidden="false" customHeight="true" outlineLevel="0" collapsed="false">
      <c r="B54" s="56"/>
      <c r="C54" s="57"/>
      <c r="D54" s="58"/>
      <c r="E54" s="57"/>
      <c r="F54" s="57"/>
      <c r="G54" s="57"/>
      <c r="H54" s="57"/>
      <c r="I54" s="57"/>
      <c r="J54" s="57"/>
      <c r="K54" s="57"/>
      <c r="L54" s="57"/>
      <c r="M54" s="57"/>
      <c r="N54" s="57"/>
      <c r="O54" s="57"/>
      <c r="P54" s="57"/>
      <c r="Q54" s="59"/>
    </row>
    <row r="55" customFormat="false" ht="34.5" hidden="false" customHeight="true" outlineLevel="0" collapsed="false">
      <c r="B55" s="60" t="s">
        <v>37</v>
      </c>
      <c r="D55" s="61" t="s">
        <v>38</v>
      </c>
      <c r="E55" s="62"/>
      <c r="F55" s="63"/>
      <c r="G55" s="63"/>
      <c r="H55" s="64"/>
      <c r="I55" s="64"/>
      <c r="J55" s="64"/>
      <c r="K55" s="64"/>
      <c r="L55" s="64"/>
      <c r="M55" s="64"/>
      <c r="N55" s="64"/>
      <c r="O55" s="64"/>
      <c r="P55" s="64"/>
      <c r="Q55" s="65"/>
    </row>
    <row r="56" customFormat="false" ht="45.75" hidden="false" customHeight="true" outlineLevel="0" collapsed="false">
      <c r="B56" s="60"/>
      <c r="D56" s="66"/>
      <c r="E56" s="67"/>
      <c r="F56" s="67"/>
      <c r="G56" s="67"/>
      <c r="H56" s="67"/>
      <c r="I56" s="67"/>
      <c r="J56" s="64"/>
      <c r="K56" s="64"/>
      <c r="L56" s="64"/>
      <c r="M56" s="64"/>
      <c r="N56" s="64"/>
      <c r="O56" s="64"/>
      <c r="P56" s="64"/>
      <c r="Q56" s="65"/>
    </row>
    <row r="57" customFormat="false" ht="45.75" hidden="false" customHeight="true" outlineLevel="0" collapsed="false">
      <c r="B57" s="60" t="s">
        <v>39</v>
      </c>
      <c r="D57" s="66"/>
      <c r="E57" s="67"/>
      <c r="F57" s="64"/>
      <c r="G57" s="64"/>
      <c r="H57" s="64"/>
      <c r="I57" s="64"/>
      <c r="J57" s="64"/>
      <c r="K57" s="64"/>
      <c r="L57" s="64"/>
      <c r="M57" s="64"/>
      <c r="N57" s="64"/>
      <c r="O57" s="64"/>
      <c r="P57" s="64"/>
      <c r="Q57" s="65"/>
    </row>
    <row r="58" customFormat="false" ht="45.75" hidden="false" customHeight="true" outlineLevel="0" collapsed="false">
      <c r="B58" s="60"/>
      <c r="D58" s="66"/>
      <c r="E58" s="67"/>
      <c r="F58" s="64"/>
      <c r="G58" s="64"/>
      <c r="H58" s="64"/>
      <c r="I58" s="64"/>
      <c r="J58" s="64"/>
      <c r="K58" s="64"/>
      <c r="L58" s="64"/>
      <c r="M58" s="64"/>
      <c r="N58" s="64"/>
      <c r="O58" s="64"/>
      <c r="P58" s="64"/>
      <c r="Q58" s="65"/>
    </row>
    <row r="59" customFormat="false" ht="45.75" hidden="false" customHeight="true" outlineLevel="0" collapsed="false">
      <c r="B59" s="60" t="s">
        <v>40</v>
      </c>
      <c r="D59" s="66"/>
      <c r="E59" s="67"/>
      <c r="F59" s="64"/>
      <c r="G59" s="64"/>
      <c r="H59" s="64"/>
      <c r="I59" s="64"/>
      <c r="J59" s="64"/>
      <c r="K59" s="64"/>
      <c r="L59" s="64"/>
      <c r="M59" s="64"/>
      <c r="N59" s="64"/>
      <c r="O59" s="64"/>
      <c r="P59" s="64"/>
      <c r="Q59" s="65"/>
    </row>
    <row r="60" customFormat="false" ht="45.75" hidden="false" customHeight="true" outlineLevel="0" collapsed="false">
      <c r="B60" s="68"/>
      <c r="D60" s="66"/>
      <c r="E60" s="67"/>
      <c r="F60" s="64"/>
      <c r="G60" s="64"/>
      <c r="H60" s="64"/>
      <c r="I60" s="64"/>
      <c r="J60" s="64"/>
      <c r="K60" s="64"/>
      <c r="L60" s="64"/>
      <c r="M60" s="64"/>
      <c r="N60" s="64"/>
      <c r="O60" s="64"/>
      <c r="P60" s="64"/>
      <c r="Q60" s="65"/>
    </row>
    <row r="61" customFormat="false" ht="45.75" hidden="false" customHeight="true" outlineLevel="0" collapsed="false">
      <c r="B61" s="69" t="s">
        <v>41</v>
      </c>
      <c r="C61" s="69"/>
      <c r="D61" s="70"/>
      <c r="E61" s="71"/>
      <c r="F61" s="57"/>
      <c r="G61" s="57"/>
      <c r="H61" s="57"/>
      <c r="I61" s="57"/>
      <c r="J61" s="57"/>
      <c r="K61" s="57"/>
      <c r="L61" s="57"/>
      <c r="M61" s="57"/>
      <c r="N61" s="57"/>
      <c r="O61" s="57"/>
      <c r="P61" s="57"/>
      <c r="Q61" s="59"/>
    </row>
    <row r="62" customFormat="false" ht="106.5" hidden="false" customHeight="true" outlineLevel="0" collapsed="false">
      <c r="B62" s="72"/>
      <c r="C62" s="72"/>
      <c r="D62" s="73" t="s">
        <v>42</v>
      </c>
      <c r="E62" s="73"/>
      <c r="F62" s="73"/>
      <c r="G62" s="73"/>
      <c r="H62" s="73"/>
      <c r="I62" s="73"/>
      <c r="J62" s="73" t="s">
        <v>43</v>
      </c>
      <c r="K62" s="73"/>
      <c r="L62" s="73"/>
      <c r="M62" s="73"/>
      <c r="N62" s="73"/>
      <c r="O62" s="74" t="s">
        <v>44</v>
      </c>
      <c r="P62" s="74"/>
      <c r="Q62" s="74"/>
    </row>
    <row r="63" customFormat="false" ht="54.75" hidden="false" customHeight="true" outlineLevel="0" collapsed="false">
      <c r="B63" s="54" t="s">
        <v>45</v>
      </c>
      <c r="C63" s="54"/>
      <c r="D63" s="54"/>
      <c r="E63" s="54"/>
      <c r="F63" s="54"/>
      <c r="G63" s="54"/>
      <c r="H63" s="54"/>
      <c r="I63" s="54"/>
      <c r="J63" s="54"/>
      <c r="K63" s="54"/>
      <c r="L63" s="54"/>
      <c r="M63" s="54"/>
      <c r="N63" s="54"/>
      <c r="O63" s="54"/>
      <c r="P63" s="54"/>
      <c r="Q63" s="55" t="s">
        <v>46</v>
      </c>
    </row>
    <row r="64" customFormat="false" ht="34.5" hidden="false" customHeight="true" outlineLevel="0" collapsed="false">
      <c r="B64" s="56"/>
      <c r="C64" s="57"/>
      <c r="D64" s="58"/>
      <c r="E64" s="57"/>
      <c r="F64" s="57"/>
      <c r="G64" s="57"/>
      <c r="H64" s="57"/>
      <c r="I64" s="57"/>
      <c r="J64" s="57"/>
      <c r="K64" s="57"/>
      <c r="L64" s="57"/>
      <c r="M64" s="57"/>
      <c r="N64" s="57"/>
      <c r="O64" s="57"/>
      <c r="P64" s="57"/>
      <c r="Q64" s="59"/>
    </row>
    <row r="65" customFormat="false" ht="34.5" hidden="false" customHeight="true" outlineLevel="0" collapsed="false">
      <c r="B65" s="60" t="s">
        <v>37</v>
      </c>
      <c r="D65" s="61" t="s">
        <v>38</v>
      </c>
      <c r="E65" s="62"/>
      <c r="F65" s="63"/>
      <c r="G65" s="63"/>
      <c r="H65" s="64"/>
      <c r="I65" s="64"/>
      <c r="J65" s="64"/>
      <c r="K65" s="64"/>
      <c r="L65" s="64"/>
      <c r="M65" s="64"/>
      <c r="N65" s="64"/>
      <c r="O65" s="64"/>
      <c r="P65" s="64"/>
      <c r="Q65" s="65"/>
    </row>
    <row r="66" customFormat="false" ht="45.75" hidden="false" customHeight="true" outlineLevel="0" collapsed="false">
      <c r="B66" s="60"/>
      <c r="D66" s="66"/>
      <c r="E66" s="67"/>
      <c r="F66" s="67"/>
      <c r="G66" s="67"/>
      <c r="H66" s="67"/>
      <c r="I66" s="67"/>
      <c r="J66" s="64"/>
      <c r="K66" s="64"/>
      <c r="L66" s="64"/>
      <c r="M66" s="64"/>
      <c r="N66" s="64"/>
      <c r="O66" s="64"/>
      <c r="P66" s="64"/>
      <c r="Q66" s="65"/>
    </row>
    <row r="67" customFormat="false" ht="45.75" hidden="false" customHeight="true" outlineLevel="0" collapsed="false">
      <c r="B67" s="60" t="s">
        <v>39</v>
      </c>
      <c r="D67" s="66"/>
      <c r="E67" s="67"/>
      <c r="F67" s="64"/>
      <c r="G67" s="64"/>
      <c r="H67" s="64"/>
      <c r="I67" s="64"/>
      <c r="J67" s="64"/>
      <c r="K67" s="64"/>
      <c r="L67" s="64"/>
      <c r="M67" s="64"/>
      <c r="N67" s="64"/>
      <c r="O67" s="64"/>
      <c r="P67" s="64"/>
      <c r="Q67" s="65"/>
    </row>
    <row r="68" customFormat="false" ht="45.75" hidden="false" customHeight="true" outlineLevel="0" collapsed="false">
      <c r="B68" s="60"/>
      <c r="D68" s="66"/>
      <c r="E68" s="67"/>
      <c r="F68" s="64"/>
      <c r="G68" s="64"/>
      <c r="H68" s="64"/>
      <c r="I68" s="64"/>
      <c r="J68" s="64"/>
      <c r="K68" s="64"/>
      <c r="L68" s="64"/>
      <c r="M68" s="64"/>
      <c r="N68" s="64"/>
      <c r="O68" s="64"/>
      <c r="P68" s="64"/>
      <c r="Q68" s="65"/>
    </row>
    <row r="69" customFormat="false" ht="45.75" hidden="false" customHeight="true" outlineLevel="0" collapsed="false">
      <c r="B69" s="60" t="s">
        <v>40</v>
      </c>
      <c r="D69" s="66"/>
      <c r="E69" s="67"/>
      <c r="F69" s="64"/>
      <c r="G69" s="64"/>
      <c r="H69" s="64"/>
      <c r="I69" s="64"/>
      <c r="J69" s="64"/>
      <c r="K69" s="64"/>
      <c r="L69" s="64"/>
      <c r="M69" s="64"/>
      <c r="N69" s="64"/>
      <c r="O69" s="64"/>
      <c r="P69" s="64"/>
      <c r="Q69" s="65"/>
    </row>
    <row r="70" customFormat="false" ht="45.75" hidden="false" customHeight="true" outlineLevel="0" collapsed="false">
      <c r="B70" s="68"/>
      <c r="D70" s="66"/>
      <c r="E70" s="67"/>
      <c r="F70" s="64"/>
      <c r="G70" s="64"/>
      <c r="H70" s="64"/>
      <c r="I70" s="64"/>
      <c r="J70" s="64"/>
      <c r="K70" s="64"/>
      <c r="L70" s="64"/>
      <c r="M70" s="64"/>
      <c r="N70" s="64"/>
      <c r="O70" s="64"/>
      <c r="P70" s="64"/>
      <c r="Q70" s="65"/>
    </row>
    <row r="71" customFormat="false" ht="45.75" hidden="false" customHeight="true" outlineLevel="0" collapsed="false">
      <c r="B71" s="69" t="s">
        <v>41</v>
      </c>
      <c r="C71" s="69"/>
      <c r="D71" s="70"/>
      <c r="E71" s="71"/>
      <c r="F71" s="57"/>
      <c r="G71" s="57"/>
      <c r="H71" s="57"/>
      <c r="I71" s="57"/>
      <c r="J71" s="57"/>
      <c r="K71" s="57"/>
      <c r="L71" s="57"/>
      <c r="M71" s="57"/>
      <c r="N71" s="57"/>
      <c r="O71" s="57"/>
      <c r="P71" s="57"/>
      <c r="Q71" s="75"/>
    </row>
    <row r="72" customFormat="false" ht="106.5" hidden="false" customHeight="true" outlineLevel="0" collapsed="false">
      <c r="B72" s="72"/>
      <c r="C72" s="72"/>
      <c r="D72" s="73" t="s">
        <v>42</v>
      </c>
      <c r="E72" s="73"/>
      <c r="F72" s="73"/>
      <c r="G72" s="73"/>
      <c r="H72" s="73"/>
      <c r="I72" s="73"/>
      <c r="J72" s="73" t="s">
        <v>43</v>
      </c>
      <c r="K72" s="73"/>
      <c r="L72" s="73"/>
      <c r="M72" s="73"/>
      <c r="N72" s="73"/>
      <c r="O72" s="76" t="s">
        <v>44</v>
      </c>
      <c r="P72" s="76"/>
      <c r="Q72" s="76"/>
    </row>
    <row r="73" customFormat="false" ht="57.75" hidden="false" customHeight="true" outlineLevel="0" collapsed="false">
      <c r="B73" s="77" t="s">
        <v>47</v>
      </c>
      <c r="C73" s="77"/>
      <c r="D73" s="77"/>
      <c r="E73" s="77"/>
      <c r="F73" s="77"/>
      <c r="G73" s="77"/>
      <c r="H73" s="77"/>
      <c r="I73" s="77"/>
      <c r="J73" s="77"/>
      <c r="K73" s="77"/>
      <c r="L73" s="77"/>
      <c r="M73" s="77"/>
      <c r="N73" s="77"/>
      <c r="O73" s="77"/>
      <c r="P73" s="77"/>
      <c r="Q73" s="77"/>
    </row>
    <row r="74" customFormat="false" ht="34.5" hidden="false" customHeight="true" outlineLevel="0" collapsed="false">
      <c r="B74" s="56"/>
      <c r="C74" s="57"/>
      <c r="D74" s="58"/>
      <c r="E74" s="57"/>
      <c r="F74" s="57"/>
      <c r="G74" s="57"/>
      <c r="H74" s="57"/>
      <c r="I74" s="57"/>
      <c r="J74" s="57"/>
      <c r="K74" s="57"/>
      <c r="L74" s="57"/>
      <c r="M74" s="57"/>
      <c r="N74" s="57"/>
      <c r="O74" s="57"/>
      <c r="P74" s="57"/>
      <c r="Q74" s="59"/>
    </row>
    <row r="75" customFormat="false" ht="34.5" hidden="false" customHeight="true" outlineLevel="0" collapsed="false">
      <c r="B75" s="78"/>
      <c r="D75" s="61" t="s">
        <v>38</v>
      </c>
      <c r="E75" s="62"/>
      <c r="F75" s="63"/>
      <c r="G75" s="63"/>
      <c r="H75" s="64"/>
      <c r="I75" s="64"/>
      <c r="J75" s="64"/>
      <c r="K75" s="64"/>
      <c r="L75" s="64"/>
      <c r="M75" s="64"/>
      <c r="N75" s="64"/>
      <c r="O75" s="64"/>
      <c r="P75" s="64"/>
      <c r="Q75" s="65"/>
    </row>
    <row r="76" customFormat="false" ht="45.75" hidden="false" customHeight="true" outlineLevel="0" collapsed="false">
      <c r="B76" s="60" t="s">
        <v>37</v>
      </c>
      <c r="D76" s="66"/>
      <c r="E76" s="67"/>
      <c r="F76" s="64"/>
      <c r="G76" s="64"/>
      <c r="H76" s="64"/>
      <c r="I76" s="64"/>
      <c r="J76" s="64"/>
      <c r="K76" s="64"/>
      <c r="L76" s="64"/>
      <c r="M76" s="64"/>
      <c r="N76" s="64"/>
      <c r="O76" s="64"/>
      <c r="P76" s="64"/>
      <c r="Q76" s="65"/>
    </row>
    <row r="77" customFormat="false" ht="45.75" hidden="false" customHeight="true" outlineLevel="0" collapsed="false">
      <c r="B77" s="60" t="s">
        <v>39</v>
      </c>
      <c r="D77" s="66"/>
      <c r="E77" s="67"/>
      <c r="F77" s="64"/>
      <c r="G77" s="64"/>
      <c r="H77" s="64"/>
      <c r="I77" s="64"/>
      <c r="J77" s="64"/>
      <c r="K77" s="64"/>
      <c r="L77" s="64"/>
      <c r="M77" s="64"/>
      <c r="N77" s="64"/>
      <c r="O77" s="64"/>
      <c r="P77" s="64"/>
      <c r="Q77" s="65"/>
    </row>
    <row r="78" customFormat="false" ht="45.75" hidden="false" customHeight="true" outlineLevel="0" collapsed="false">
      <c r="B78" s="60" t="s">
        <v>40</v>
      </c>
      <c r="D78" s="66"/>
      <c r="E78" s="67"/>
      <c r="F78" s="64"/>
      <c r="G78" s="64"/>
      <c r="H78" s="64"/>
      <c r="I78" s="64"/>
      <c r="J78" s="64"/>
      <c r="K78" s="64"/>
      <c r="L78" s="64"/>
      <c r="M78" s="64"/>
      <c r="N78" s="64"/>
      <c r="O78" s="64"/>
      <c r="P78" s="64"/>
      <c r="Q78" s="65"/>
    </row>
    <row r="79" customFormat="false" ht="45.75" hidden="false" customHeight="true" outlineLevel="0" collapsed="false">
      <c r="B79" s="79" t="s">
        <v>41</v>
      </c>
      <c r="C79" s="79"/>
      <c r="D79" s="70"/>
      <c r="E79" s="71"/>
      <c r="F79" s="57"/>
      <c r="G79" s="57"/>
      <c r="H79" s="57"/>
      <c r="I79" s="57"/>
      <c r="J79" s="57"/>
      <c r="K79" s="57"/>
      <c r="L79" s="57"/>
      <c r="M79" s="57"/>
      <c r="N79" s="57"/>
      <c r="O79" s="57"/>
      <c r="P79" s="57"/>
      <c r="Q79" s="59"/>
    </row>
    <row r="80" customFormat="false" ht="104.25" hidden="false" customHeight="true" outlineLevel="0" collapsed="false">
      <c r="B80" s="80"/>
      <c r="C80" s="80"/>
      <c r="D80" s="81" t="s">
        <v>42</v>
      </c>
      <c r="E80" s="81"/>
      <c r="F80" s="81"/>
      <c r="G80" s="81"/>
      <c r="H80" s="81"/>
      <c r="I80" s="81"/>
      <c r="J80" s="81" t="s">
        <v>43</v>
      </c>
      <c r="K80" s="81"/>
      <c r="L80" s="81"/>
      <c r="M80" s="81"/>
      <c r="N80" s="81"/>
      <c r="O80" s="82" t="s">
        <v>44</v>
      </c>
      <c r="P80" s="82"/>
      <c r="Q80" s="82"/>
    </row>
    <row r="81" customFormat="false" ht="21.75" hidden="false" customHeight="true" outlineLevel="0" collapsed="false">
      <c r="B81" s="1"/>
    </row>
    <row r="82" customFormat="false" ht="20.25" hidden="false" customHeight="true" outlineLevel="0" collapsed="false">
      <c r="B82" s="1"/>
    </row>
    <row r="83" customFormat="false" ht="20.25" hidden="false" customHeight="true" outlineLevel="0" collapsed="false">
      <c r="B83" s="1"/>
    </row>
    <row r="84" customFormat="false" ht="20.25" hidden="false" customHeight="true" outlineLevel="0" collapsed="false">
      <c r="B84" s="1"/>
    </row>
    <row r="85" customFormat="false" ht="20.25" hidden="false" customHeight="true" outlineLevel="0" collapsed="false">
      <c r="B85" s="1"/>
    </row>
    <row r="86" customFormat="false" ht="20.25" hidden="false" customHeight="true" outlineLevel="0" collapsed="false">
      <c r="B86" s="1"/>
    </row>
    <row r="87" customFormat="false" ht="20.25" hidden="false" customHeight="true" outlineLevel="0" collapsed="false">
      <c r="B87" s="1"/>
    </row>
    <row r="88" customFormat="false" ht="20.25" hidden="false" customHeight="true" outlineLevel="0" collapsed="false">
      <c r="B88" s="1"/>
    </row>
    <row r="89" customFormat="false" ht="20.25" hidden="false" customHeight="true" outlineLevel="0" collapsed="false">
      <c r="B89" s="1"/>
    </row>
    <row r="90" customFormat="false" ht="20.25" hidden="false" customHeight="true" outlineLevel="0" collapsed="false">
      <c r="B90" s="1"/>
    </row>
    <row r="91" customFormat="false" ht="20.25" hidden="false" customHeight="true" outlineLevel="0" collapsed="false">
      <c r="B91" s="1"/>
    </row>
    <row r="92" customFormat="false" ht="20.25" hidden="false" customHeight="true" outlineLevel="0" collapsed="false">
      <c r="B92" s="1"/>
    </row>
    <row r="93" customFormat="false" ht="20.25" hidden="false" customHeight="true" outlineLevel="0" collapsed="false">
      <c r="B93" s="1"/>
    </row>
    <row r="94" customFormat="false" ht="20.25" hidden="false" customHeight="true" outlineLevel="0" collapsed="false">
      <c r="B94" s="1"/>
    </row>
    <row r="95" customFormat="false" ht="20.25" hidden="false" customHeight="true" outlineLevel="0" collapsed="false">
      <c r="B95" s="1"/>
    </row>
    <row r="96" customFormat="false" ht="20.25" hidden="false" customHeight="true" outlineLevel="0" collapsed="false">
      <c r="B96" s="1"/>
    </row>
    <row r="97" customFormat="false" ht="20.25" hidden="false" customHeight="true" outlineLevel="0" collapsed="false">
      <c r="B97" s="1"/>
    </row>
    <row r="98" customFormat="false" ht="20.25" hidden="false" customHeight="true" outlineLevel="0" collapsed="false">
      <c r="B98" s="1"/>
    </row>
    <row r="99" customFormat="false" ht="20.25" hidden="false" customHeight="true" outlineLevel="0" collapsed="false">
      <c r="B99" s="1"/>
    </row>
    <row r="100" customFormat="false" ht="20.25" hidden="false" customHeight="true" outlineLevel="0" collapsed="false">
      <c r="B100" s="1"/>
    </row>
    <row r="101" customFormat="false" ht="20.25" hidden="false" customHeight="true" outlineLevel="0" collapsed="false">
      <c r="B101" s="1"/>
    </row>
    <row r="102" customFormat="false" ht="20.25" hidden="false" customHeight="true" outlineLevel="0" collapsed="false">
      <c r="B102" s="1"/>
    </row>
    <row r="103" customFormat="false" ht="20.25" hidden="false" customHeight="true" outlineLevel="0" collapsed="false">
      <c r="B103" s="1"/>
    </row>
    <row r="104" customFormat="false" ht="20.25" hidden="false" customHeight="true" outlineLevel="0" collapsed="false">
      <c r="B104" s="1"/>
    </row>
    <row r="105" customFormat="false" ht="20.25" hidden="false" customHeight="true" outlineLevel="0" collapsed="false">
      <c r="B105" s="1"/>
    </row>
    <row r="106" customFormat="false" ht="20.25" hidden="false" customHeight="true" outlineLevel="0" collapsed="false">
      <c r="B106" s="1"/>
    </row>
    <row r="107" customFormat="false" ht="20.25" hidden="false" customHeight="true" outlineLevel="0" collapsed="false">
      <c r="B107" s="1"/>
    </row>
    <row r="108" customFormat="false" ht="20.25" hidden="false" customHeight="true" outlineLevel="0" collapsed="false">
      <c r="B108" s="1"/>
    </row>
    <row r="109" customFormat="false" ht="20.25" hidden="false" customHeight="true" outlineLevel="0" collapsed="false">
      <c r="B109" s="1"/>
    </row>
    <row r="110" customFormat="false" ht="20.25" hidden="false" customHeight="true" outlineLevel="0" collapsed="false">
      <c r="B110" s="1"/>
    </row>
    <row r="111" customFormat="false" ht="20.25" hidden="false" customHeight="true" outlineLevel="0" collapsed="false">
      <c r="B111" s="1"/>
    </row>
    <row r="112" customFormat="false" ht="20.25" hidden="false" customHeight="true" outlineLevel="0" collapsed="false">
      <c r="B112" s="1"/>
    </row>
    <row r="113" customFormat="false" ht="20.25" hidden="false" customHeight="true" outlineLevel="0" collapsed="false">
      <c r="B113" s="1"/>
    </row>
    <row r="114" customFormat="false" ht="20.25" hidden="false" customHeight="true" outlineLevel="0" collapsed="false">
      <c r="B114" s="1"/>
    </row>
    <row r="115" customFormat="false" ht="20.25" hidden="false" customHeight="true" outlineLevel="0" collapsed="false">
      <c r="B115" s="1"/>
    </row>
    <row r="116" customFormat="false" ht="20.25" hidden="false" customHeight="true" outlineLevel="0" collapsed="false">
      <c r="B116" s="1"/>
    </row>
    <row r="117" customFormat="false" ht="20.25" hidden="false" customHeight="true" outlineLevel="0" collapsed="false">
      <c r="B117" s="1"/>
    </row>
    <row r="118" customFormat="false" ht="20.25" hidden="false" customHeight="true" outlineLevel="0" collapsed="false">
      <c r="B118" s="1"/>
    </row>
    <row r="119" customFormat="false" ht="20.25" hidden="false" customHeight="true" outlineLevel="0" collapsed="false">
      <c r="B119" s="1"/>
    </row>
    <row r="120" customFormat="false" ht="20.25" hidden="false" customHeight="true" outlineLevel="0" collapsed="false">
      <c r="B120" s="1"/>
    </row>
    <row r="121" customFormat="false" ht="20.25" hidden="false" customHeight="true" outlineLevel="0" collapsed="false">
      <c r="B121" s="1"/>
    </row>
    <row r="122" customFormat="false" ht="20.25" hidden="false" customHeight="true" outlineLevel="0" collapsed="false">
      <c r="B122" s="1"/>
    </row>
    <row r="123" customFormat="false" ht="20.25" hidden="false" customHeight="true" outlineLevel="0" collapsed="false">
      <c r="B123" s="1"/>
    </row>
    <row r="124" customFormat="false" ht="20.25" hidden="false" customHeight="true" outlineLevel="0" collapsed="false">
      <c r="B124" s="1"/>
    </row>
    <row r="125" customFormat="false" ht="20.25" hidden="false" customHeight="true" outlineLevel="0" collapsed="false">
      <c r="B125" s="1"/>
    </row>
    <row r="126" customFormat="false" ht="20.25" hidden="false" customHeight="true" outlineLevel="0" collapsed="false">
      <c r="B126" s="1"/>
    </row>
    <row r="127" customFormat="false" ht="20.25" hidden="false" customHeight="true" outlineLevel="0" collapsed="false">
      <c r="B127" s="1"/>
    </row>
    <row r="128" customFormat="false" ht="20.25" hidden="false" customHeight="true" outlineLevel="0" collapsed="false">
      <c r="B128" s="1"/>
    </row>
    <row r="129" customFormat="false" ht="20.25" hidden="false" customHeight="true" outlineLevel="0" collapsed="false">
      <c r="B129" s="1"/>
    </row>
    <row r="130" customFormat="false" ht="20.25" hidden="false" customHeight="true" outlineLevel="0" collapsed="false">
      <c r="B130" s="1"/>
    </row>
    <row r="131" customFormat="false" ht="20.25" hidden="false" customHeight="true" outlineLevel="0" collapsed="false">
      <c r="B131" s="1"/>
    </row>
    <row r="132" customFormat="false" ht="20.25" hidden="false" customHeight="true" outlineLevel="0" collapsed="false">
      <c r="B132" s="1"/>
    </row>
    <row r="133" customFormat="false" ht="20.25" hidden="false" customHeight="true" outlineLevel="0" collapsed="false">
      <c r="B133" s="1"/>
    </row>
    <row r="134" customFormat="false" ht="20.25" hidden="false" customHeight="true" outlineLevel="0" collapsed="false">
      <c r="B134" s="1"/>
    </row>
    <row r="135" customFormat="false" ht="20.25" hidden="false" customHeight="true" outlineLevel="0" collapsed="false">
      <c r="B135" s="1"/>
    </row>
    <row r="136" customFormat="false" ht="12.75" hidden="false" customHeight="true" outlineLevel="0" collapsed="false">
      <c r="B136" s="1"/>
    </row>
  </sheetData>
  <sheetProtection algorithmName="SHA-512" hashValue="jYXn3fP3O9aggFMyy3ryAAAHmAh1hVU6x/IU9L21ebs/dnr7zrVrRgZACDfvP4s+BcE4Q7KkbryO53SKkzimTw==" saltValue="92owIg5+NWyyWsJ7+hJwkw==" spinCount="100000" sheet="true" objects="true" scenarios="true"/>
  <mergeCells count="60">
    <mergeCell ref="B2:Q3"/>
    <mergeCell ref="B4:Q4"/>
    <mergeCell ref="C5:G5"/>
    <mergeCell ref="H5:H7"/>
    <mergeCell ref="I5:L7"/>
    <mergeCell ref="M5:N5"/>
    <mergeCell ref="P5:Q5"/>
    <mergeCell ref="B6:B7"/>
    <mergeCell ref="C6:G7"/>
    <mergeCell ref="M6:N6"/>
    <mergeCell ref="P6:Q6"/>
    <mergeCell ref="M7:N7"/>
    <mergeCell ref="P7:Q7"/>
    <mergeCell ref="B8:C8"/>
    <mergeCell ref="E8:F8"/>
    <mergeCell ref="H8:I8"/>
    <mergeCell ref="K8:L8"/>
    <mergeCell ref="M8:P8"/>
    <mergeCell ref="B9:C9"/>
    <mergeCell ref="E9:F9"/>
    <mergeCell ref="G9:I9"/>
    <mergeCell ref="K9:L9"/>
    <mergeCell ref="N9:P9"/>
    <mergeCell ref="B10:C10"/>
    <mergeCell ref="D10:Q10"/>
    <mergeCell ref="B11:B12"/>
    <mergeCell ref="C11:C12"/>
    <mergeCell ref="D11:Q12"/>
    <mergeCell ref="B13:Q13"/>
    <mergeCell ref="B14:Q19"/>
    <mergeCell ref="B20:Q20"/>
    <mergeCell ref="B21:Q26"/>
    <mergeCell ref="B27:Q27"/>
    <mergeCell ref="B28:Q32"/>
    <mergeCell ref="B33:Q33"/>
    <mergeCell ref="B34:Q38"/>
    <mergeCell ref="B39:Q39"/>
    <mergeCell ref="B40:Q44"/>
    <mergeCell ref="B45:O52"/>
    <mergeCell ref="P45:Q50"/>
    <mergeCell ref="P51:Q51"/>
    <mergeCell ref="P52:Q52"/>
    <mergeCell ref="B53:P53"/>
    <mergeCell ref="B61:C61"/>
    <mergeCell ref="B62:C62"/>
    <mergeCell ref="D62:I62"/>
    <mergeCell ref="J62:N62"/>
    <mergeCell ref="O62:Q62"/>
    <mergeCell ref="B63:P63"/>
    <mergeCell ref="B71:C71"/>
    <mergeCell ref="B72:C72"/>
    <mergeCell ref="D72:I72"/>
    <mergeCell ref="J72:N72"/>
    <mergeCell ref="O72:Q72"/>
    <mergeCell ref="B73:Q73"/>
    <mergeCell ref="B79:C79"/>
    <mergeCell ref="B80:C80"/>
    <mergeCell ref="D80:I80"/>
    <mergeCell ref="J80:N80"/>
    <mergeCell ref="O80:Q80"/>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9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83" width="43.71"/>
    <col collapsed="false" customWidth="true" hidden="false" outlineLevel="0" max="2" min="2" style="84" width="10.14"/>
    <col collapsed="false" customWidth="true" hidden="false" outlineLevel="0" max="3" min="3" style="83" width="3.57"/>
    <col collapsed="false" customWidth="true" hidden="false" outlineLevel="0" max="4" min="4" style="83" width="45.57"/>
    <col collapsed="false" customWidth="false" hidden="false" outlineLevel="0" max="5" min="5" style="84" width="11.29"/>
    <col collapsed="false" customWidth="true" hidden="false" outlineLevel="0" max="6" min="6" style="83" width="3.57"/>
    <col collapsed="false" customWidth="true" hidden="false" outlineLevel="0" max="7" min="7" style="83" width="45.43"/>
    <col collapsed="false" customWidth="false" hidden="false" outlineLevel="0" max="8" min="8" style="84" width="11.29"/>
    <col collapsed="false" customWidth="true" hidden="false" outlineLevel="0" max="9" min="9" style="83" width="3.57"/>
    <col collapsed="false" customWidth="true" hidden="false" outlineLevel="0" max="10" min="10" style="83" width="32.42"/>
    <col collapsed="false" customWidth="true" hidden="false" outlineLevel="0" max="11" min="11" style="83" width="12.29"/>
    <col collapsed="false" customWidth="true" hidden="false" outlineLevel="0" max="12" min="12" style="84" width="4"/>
    <col collapsed="false" customWidth="true" hidden="false" outlineLevel="0" max="13" min="13" style="83" width="33.71"/>
    <col collapsed="false" customWidth="false" hidden="false" outlineLevel="0" max="16384" min="14" style="83" width="11.29"/>
  </cols>
  <sheetData>
    <row r="2" customFormat="false" ht="13.5" hidden="false" customHeight="true" outlineLevel="0" collapsed="false">
      <c r="A2" s="85" t="s">
        <v>48</v>
      </c>
      <c r="B2" s="85"/>
      <c r="D2" s="85" t="s">
        <v>49</v>
      </c>
      <c r="E2" s="85"/>
    </row>
    <row r="3" customFormat="false" ht="26.25" hidden="false" customHeight="true" outlineLevel="0" collapsed="false">
      <c r="A3" s="86"/>
      <c r="B3" s="87" t="s">
        <v>50</v>
      </c>
      <c r="E3" s="87" t="s">
        <v>50</v>
      </c>
    </row>
    <row r="4" customFormat="false" ht="13.5" hidden="false" customHeight="true" outlineLevel="0" collapsed="false">
      <c r="A4" s="88" t="s">
        <v>51</v>
      </c>
      <c r="B4" s="89" t="n">
        <v>29</v>
      </c>
      <c r="D4" s="90" t="s">
        <v>52</v>
      </c>
      <c r="E4" s="89" t="n">
        <f aca="false">10+10+10</f>
        <v>30</v>
      </c>
    </row>
    <row r="5" customFormat="false" ht="13.5" hidden="false" customHeight="true" outlineLevel="0" collapsed="false">
      <c r="A5" s="88" t="s">
        <v>53</v>
      </c>
      <c r="B5" s="89" t="n">
        <v>21</v>
      </c>
      <c r="D5" s="90" t="s">
        <v>54</v>
      </c>
      <c r="E5" s="89" t="n">
        <f aca="false">9+8+8</f>
        <v>25</v>
      </c>
    </row>
    <row r="6" customFormat="false" ht="13.5" hidden="false" customHeight="true" outlineLevel="0" collapsed="false">
      <c r="A6" s="88" t="s">
        <v>55</v>
      </c>
      <c r="B6" s="89" t="n">
        <f aca="false">9+10+10</f>
        <v>29</v>
      </c>
      <c r="D6" s="90" t="s">
        <v>56</v>
      </c>
      <c r="E6" s="89" t="n">
        <f aca="false">8+8+8</f>
        <v>24</v>
      </c>
    </row>
    <row r="7" customFormat="false" ht="13.5" hidden="false" customHeight="true" outlineLevel="0" collapsed="false">
      <c r="A7" s="88" t="s">
        <v>57</v>
      </c>
      <c r="B7" s="89" t="n">
        <f aca="false">7+7+7</f>
        <v>21</v>
      </c>
      <c r="D7" s="90" t="s">
        <v>58</v>
      </c>
      <c r="E7" s="89" t="n">
        <f aca="false">9+8+9</f>
        <v>26</v>
      </c>
    </row>
    <row r="8" customFormat="false" ht="13.5" hidden="false" customHeight="true" outlineLevel="0" collapsed="false">
      <c r="A8" s="88" t="s">
        <v>59</v>
      </c>
      <c r="B8" s="89" t="n">
        <f aca="false">8+7+7</f>
        <v>22</v>
      </c>
      <c r="D8" s="90" t="s">
        <v>60</v>
      </c>
      <c r="E8" s="89" t="n">
        <f aca="false">8+6+6</f>
        <v>20</v>
      </c>
    </row>
    <row r="9" customFormat="false" ht="13.5" hidden="false" customHeight="true" outlineLevel="0" collapsed="false">
      <c r="A9" s="91" t="s">
        <v>61</v>
      </c>
      <c r="B9" s="92" t="n">
        <f aca="false">SUM(B4:B8)</f>
        <v>122</v>
      </c>
      <c r="D9" s="90" t="s">
        <v>62</v>
      </c>
      <c r="E9" s="93" t="n">
        <f aca="false">9+8+8</f>
        <v>25</v>
      </c>
    </row>
    <row r="10" customFormat="false" ht="13.5" hidden="false" customHeight="true" outlineLevel="0" collapsed="false">
      <c r="D10" s="90" t="s">
        <v>63</v>
      </c>
      <c r="E10" s="94" t="n">
        <f aca="false">7+6+6</f>
        <v>19</v>
      </c>
    </row>
    <row r="11" customFormat="false" ht="13.5" hidden="false" customHeight="true" outlineLevel="0" collapsed="false">
      <c r="A11" s="85" t="s">
        <v>64</v>
      </c>
      <c r="B11" s="85"/>
      <c r="E11" s="95" t="n">
        <f aca="false">SUM(E4:E10)</f>
        <v>169</v>
      </c>
    </row>
    <row r="12" customFormat="false" ht="26.25" hidden="false" customHeight="true" outlineLevel="0" collapsed="false">
      <c r="B12" s="87" t="s">
        <v>50</v>
      </c>
    </row>
    <row r="13" customFormat="false" ht="13.5" hidden="false" customHeight="true" outlineLevel="0" collapsed="false">
      <c r="A13" s="90" t="s">
        <v>65</v>
      </c>
      <c r="B13" s="89" t="n">
        <f aca="false">10+9+10</f>
        <v>29</v>
      </c>
      <c r="D13" s="85" t="s">
        <v>66</v>
      </c>
      <c r="E13" s="85"/>
    </row>
    <row r="14" customFormat="false" ht="26.25" hidden="false" customHeight="true" outlineLevel="0" collapsed="false">
      <c r="A14" s="90" t="s">
        <v>67</v>
      </c>
      <c r="B14" s="89" t="n">
        <f aca="false">7+7+7</f>
        <v>21</v>
      </c>
      <c r="E14" s="87" t="s">
        <v>50</v>
      </c>
    </row>
    <row r="15" customFormat="false" ht="13.5" hidden="false" customHeight="true" outlineLevel="0" collapsed="false">
      <c r="A15" s="90" t="s">
        <v>68</v>
      </c>
      <c r="B15" s="89" t="n">
        <f aca="false">6+5+6</f>
        <v>17</v>
      </c>
      <c r="D15" s="96" t="s">
        <v>69</v>
      </c>
      <c r="E15" s="89"/>
    </row>
    <row r="16" customFormat="false" ht="13.5" hidden="false" customHeight="true" outlineLevel="0" collapsed="false">
      <c r="A16" s="90" t="s">
        <v>70</v>
      </c>
      <c r="B16" s="89" t="n">
        <f aca="false">10+10+9</f>
        <v>29</v>
      </c>
      <c r="D16" s="97" t="s">
        <v>71</v>
      </c>
      <c r="E16" s="89" t="n">
        <v>10</v>
      </c>
    </row>
    <row r="17" customFormat="false" ht="13.5" hidden="false" customHeight="true" outlineLevel="0" collapsed="false">
      <c r="A17" s="90" t="s">
        <v>72</v>
      </c>
      <c r="B17" s="89" t="n">
        <f aca="false">6+8+7</f>
        <v>21</v>
      </c>
      <c r="D17" s="97" t="s">
        <v>73</v>
      </c>
      <c r="E17" s="94" t="n">
        <v>10</v>
      </c>
    </row>
    <row r="18" customFormat="false" ht="13.5" hidden="false" customHeight="true" outlineLevel="0" collapsed="false">
      <c r="A18" s="90" t="s">
        <v>74</v>
      </c>
      <c r="B18" s="89" t="n">
        <f aca="false">5+5+5</f>
        <v>15</v>
      </c>
      <c r="D18" s="97" t="s">
        <v>75</v>
      </c>
      <c r="E18" s="94" t="n">
        <v>9</v>
      </c>
    </row>
    <row r="19" customFormat="false" ht="13.5" hidden="false" customHeight="true" outlineLevel="0" collapsed="false">
      <c r="A19" s="90" t="s">
        <v>76</v>
      </c>
      <c r="B19" s="89" t="n">
        <f aca="false">5+4+4</f>
        <v>13</v>
      </c>
      <c r="D19" s="97" t="s">
        <v>77</v>
      </c>
      <c r="E19" s="94" t="n">
        <v>8</v>
      </c>
    </row>
    <row r="20" customFormat="false" ht="13.5" hidden="false" customHeight="true" outlineLevel="0" collapsed="false">
      <c r="A20" s="90" t="s">
        <v>78</v>
      </c>
      <c r="B20" s="89" t="n">
        <v>21</v>
      </c>
      <c r="D20" s="97" t="s">
        <v>79</v>
      </c>
      <c r="E20" s="94" t="n">
        <v>9</v>
      </c>
    </row>
    <row r="21" customFormat="false" ht="13.5" hidden="false" customHeight="true" outlineLevel="0" collapsed="false">
      <c r="A21" s="91" t="s">
        <v>61</v>
      </c>
      <c r="B21" s="95" t="n">
        <f aca="false">SUM(B13:B20)</f>
        <v>166</v>
      </c>
      <c r="D21" s="97" t="s">
        <v>80</v>
      </c>
      <c r="E21" s="94" t="n">
        <v>10</v>
      </c>
    </row>
    <row r="22" customFormat="false" ht="13.5" hidden="false" customHeight="true" outlineLevel="0" collapsed="false">
      <c r="B22" s="98"/>
      <c r="D22" s="99"/>
      <c r="E22" s="100" t="n">
        <f aca="false">SUM(E16:E21)</f>
        <v>56</v>
      </c>
    </row>
    <row r="23" customFormat="false" ht="13.5" hidden="false" customHeight="true" outlineLevel="0" collapsed="false">
      <c r="A23" s="85" t="s">
        <v>81</v>
      </c>
      <c r="B23" s="85"/>
      <c r="D23" s="96" t="s">
        <v>82</v>
      </c>
      <c r="E23" s="94"/>
    </row>
    <row r="24" customFormat="false" ht="26.25" hidden="false" customHeight="true" outlineLevel="0" collapsed="false">
      <c r="B24" s="87" t="s">
        <v>50</v>
      </c>
      <c r="D24" s="97" t="s">
        <v>83</v>
      </c>
      <c r="E24" s="94" t="n">
        <v>10</v>
      </c>
    </row>
    <row r="25" customFormat="false" ht="13.5" hidden="false" customHeight="true" outlineLevel="0" collapsed="false">
      <c r="A25" s="90" t="s">
        <v>84</v>
      </c>
      <c r="B25" s="89" t="n">
        <f aca="false">10+8+9</f>
        <v>27</v>
      </c>
      <c r="D25" s="97" t="s">
        <v>85</v>
      </c>
      <c r="E25" s="94" t="n">
        <v>10</v>
      </c>
    </row>
    <row r="26" customFormat="false" ht="13.5" hidden="false" customHeight="true" outlineLevel="0" collapsed="false">
      <c r="A26" s="90" t="s">
        <v>86</v>
      </c>
      <c r="B26" s="89" t="n">
        <f aca="false">8+8+8</f>
        <v>24</v>
      </c>
      <c r="D26" s="97" t="s">
        <v>87</v>
      </c>
      <c r="E26" s="94" t="n">
        <v>9</v>
      </c>
    </row>
    <row r="27" customFormat="false" ht="13.5" hidden="false" customHeight="true" outlineLevel="0" collapsed="false">
      <c r="A27" s="90" t="s">
        <v>88</v>
      </c>
      <c r="B27" s="89" t="n">
        <f aca="false">9+8+8</f>
        <v>25</v>
      </c>
      <c r="D27" s="97" t="s">
        <v>89</v>
      </c>
      <c r="E27" s="94" t="n">
        <v>10</v>
      </c>
    </row>
    <row r="28" customFormat="false" ht="13.5" hidden="false" customHeight="true" outlineLevel="0" collapsed="false">
      <c r="A28" s="90" t="s">
        <v>90</v>
      </c>
      <c r="B28" s="89" t="n">
        <f aca="false">7+7+7</f>
        <v>21</v>
      </c>
      <c r="E28" s="95" t="n">
        <f aca="false">SUM(E24:E27)</f>
        <v>39</v>
      </c>
    </row>
    <row r="29" customFormat="false" ht="13.5" hidden="false" customHeight="true" outlineLevel="0" collapsed="false">
      <c r="A29" s="90" t="s">
        <v>91</v>
      </c>
      <c r="B29" s="89" t="n">
        <f aca="false">7+6+7</f>
        <v>20</v>
      </c>
    </row>
    <row r="30" customFormat="false" ht="13.5" hidden="false" customHeight="true" outlineLevel="0" collapsed="false">
      <c r="A30" s="90" t="s">
        <v>92</v>
      </c>
      <c r="B30" s="89" t="n">
        <f aca="false">8+8+8</f>
        <v>24</v>
      </c>
      <c r="D30" s="85" t="s">
        <v>93</v>
      </c>
      <c r="E30" s="85"/>
    </row>
    <row r="31" customFormat="false" ht="26.25" hidden="false" customHeight="true" outlineLevel="0" collapsed="false">
      <c r="A31" s="90" t="s">
        <v>94</v>
      </c>
      <c r="B31" s="89" t="n">
        <f aca="false">7+8+7</f>
        <v>22</v>
      </c>
      <c r="E31" s="87" t="s">
        <v>50</v>
      </c>
    </row>
    <row r="32" customFormat="false" ht="13.5" hidden="false" customHeight="true" outlineLevel="0" collapsed="false">
      <c r="A32" s="90" t="s">
        <v>95</v>
      </c>
      <c r="B32" s="89" t="n">
        <f aca="false">8+6+7</f>
        <v>21</v>
      </c>
      <c r="D32" s="101" t="s">
        <v>96</v>
      </c>
      <c r="E32" s="89" t="n">
        <f aca="false">9+9+9</f>
        <v>27</v>
      </c>
    </row>
    <row r="33" customFormat="false" ht="13.5" hidden="false" customHeight="true" outlineLevel="0" collapsed="false">
      <c r="B33" s="95" t="n">
        <f aca="false">SUM(B25:B32)</f>
        <v>184</v>
      </c>
      <c r="D33" s="101" t="s">
        <v>97</v>
      </c>
      <c r="E33" s="89" t="n">
        <f aca="false">9+7+8</f>
        <v>24</v>
      </c>
    </row>
    <row r="34" customFormat="false" ht="13.5" hidden="false" customHeight="true" outlineLevel="0" collapsed="false">
      <c r="B34" s="98"/>
      <c r="D34" s="101" t="s">
        <v>98</v>
      </c>
      <c r="E34" s="89" t="n">
        <f aca="false">10+8+8</f>
        <v>26</v>
      </c>
    </row>
    <row r="35" customFormat="false" ht="13.5" hidden="false" customHeight="true" outlineLevel="0" collapsed="false">
      <c r="B35" s="98"/>
      <c r="E35" s="92" t="n">
        <f aca="false">SUM(E32:E34)</f>
        <v>77</v>
      </c>
    </row>
    <row r="36" customFormat="false" ht="13.5" hidden="false" customHeight="true" outlineLevel="0" collapsed="false">
      <c r="B36" s="98"/>
      <c r="E36" s="98"/>
    </row>
    <row r="37" customFormat="false" ht="13.5" hidden="false" customHeight="true" outlineLevel="0" collapsed="false">
      <c r="B37" s="98"/>
      <c r="E37" s="98"/>
    </row>
    <row r="38" customFormat="false" ht="13.5" hidden="false" customHeight="true" outlineLevel="0" collapsed="false">
      <c r="B38" s="98"/>
      <c r="E38" s="98"/>
    </row>
    <row r="39" customFormat="false" ht="13.5" hidden="false" customHeight="true" outlineLevel="0" collapsed="false">
      <c r="B39" s="98"/>
      <c r="E39" s="98"/>
    </row>
    <row r="41" customFormat="false" ht="13.5" hidden="false" customHeight="true" outlineLevel="0" collapsed="false">
      <c r="A41" s="102" t="s">
        <v>99</v>
      </c>
      <c r="D41" s="102" t="s">
        <v>100</v>
      </c>
      <c r="G41" s="102" t="s">
        <v>101</v>
      </c>
      <c r="J41" s="102" t="s">
        <v>102</v>
      </c>
      <c r="K41" s="103"/>
      <c r="M41" s="102" t="s">
        <v>103</v>
      </c>
    </row>
    <row r="42" customFormat="false" ht="13.5" hidden="false" customHeight="true" outlineLevel="0" collapsed="false">
      <c r="A42" s="104"/>
      <c r="D42" s="104"/>
      <c r="G42" s="104"/>
      <c r="J42" s="103"/>
      <c r="M42" s="104"/>
    </row>
    <row r="43" customFormat="false" ht="13.5" hidden="false" customHeight="true" outlineLevel="0" collapsed="false">
      <c r="A43" s="105" t="s">
        <v>104</v>
      </c>
      <c r="D43" s="105" t="s">
        <v>105</v>
      </c>
      <c r="G43" s="105" t="s">
        <v>106</v>
      </c>
      <c r="J43" s="105" t="s">
        <v>107</v>
      </c>
      <c r="K43" s="103"/>
      <c r="M43" s="105" t="s">
        <v>96</v>
      </c>
    </row>
    <row r="44" customFormat="false" ht="13.5" hidden="false" customHeight="true" outlineLevel="0" collapsed="false">
      <c r="A44" s="106" t="s">
        <v>108</v>
      </c>
      <c r="B44" s="107" t="n">
        <v>4</v>
      </c>
      <c r="D44" s="108" t="s">
        <v>109</v>
      </c>
      <c r="E44" s="107" t="n">
        <v>3.5</v>
      </c>
      <c r="G44" s="108" t="s">
        <v>110</v>
      </c>
      <c r="J44" s="109" t="s">
        <v>111</v>
      </c>
      <c r="K44" s="110"/>
      <c r="M44" s="108" t="s">
        <v>112</v>
      </c>
      <c r="N44" s="107" t="n">
        <v>3</v>
      </c>
    </row>
    <row r="45" customFormat="false" ht="13.5" hidden="false" customHeight="true" outlineLevel="0" collapsed="false">
      <c r="A45" s="106" t="s">
        <v>113</v>
      </c>
      <c r="B45" s="107" t="n">
        <v>2</v>
      </c>
      <c r="D45" s="108" t="s">
        <v>114</v>
      </c>
      <c r="E45" s="107" t="n">
        <v>2.5</v>
      </c>
      <c r="G45" s="111" t="s">
        <v>115</v>
      </c>
      <c r="H45" s="107" t="n">
        <v>20</v>
      </c>
      <c r="J45" s="108" t="s">
        <v>116</v>
      </c>
      <c r="K45" s="107" t="n">
        <v>4</v>
      </c>
      <c r="M45" s="108" t="s">
        <v>117</v>
      </c>
      <c r="N45" s="107" t="n">
        <v>2</v>
      </c>
    </row>
    <row r="46" customFormat="false" ht="13.5" hidden="false" customHeight="true" outlineLevel="0" collapsed="false">
      <c r="A46" s="106" t="s">
        <v>118</v>
      </c>
      <c r="B46" s="107" t="n">
        <v>1</v>
      </c>
      <c r="D46" s="108" t="s">
        <v>119</v>
      </c>
      <c r="E46" s="107" t="n">
        <v>1.5</v>
      </c>
      <c r="G46" s="108" t="s">
        <v>120</v>
      </c>
      <c r="J46" s="108" t="s">
        <v>121</v>
      </c>
      <c r="K46" s="107" t="n">
        <v>2</v>
      </c>
      <c r="M46" s="108" t="s">
        <v>122</v>
      </c>
      <c r="N46" s="107" t="n">
        <v>1</v>
      </c>
    </row>
    <row r="47" customFormat="false" ht="13.5" hidden="false" customHeight="true" outlineLevel="0" collapsed="false">
      <c r="A47" s="106" t="s">
        <v>123</v>
      </c>
      <c r="B47" s="107" t="n">
        <v>-20</v>
      </c>
      <c r="D47" s="108" t="s">
        <v>124</v>
      </c>
      <c r="E47" s="107" t="n">
        <v>-40</v>
      </c>
      <c r="G47" s="111" t="s">
        <v>125</v>
      </c>
      <c r="H47" s="107" t="n">
        <v>10</v>
      </c>
      <c r="J47" s="108" t="s">
        <v>126</v>
      </c>
      <c r="K47" s="107" t="n">
        <v>0</v>
      </c>
      <c r="M47" s="112"/>
    </row>
    <row r="48" customFormat="false" ht="13.5" hidden="false" customHeight="true" outlineLevel="0" collapsed="false">
      <c r="A48" s="112"/>
      <c r="D48" s="112"/>
      <c r="G48" s="108" t="s">
        <v>127</v>
      </c>
      <c r="H48" s="107" t="n">
        <v>-40</v>
      </c>
      <c r="J48" s="112"/>
      <c r="K48" s="104"/>
      <c r="M48" s="113" t="s">
        <v>97</v>
      </c>
    </row>
    <row r="49" customFormat="false" ht="13.5" hidden="false" customHeight="true" outlineLevel="0" collapsed="false">
      <c r="A49" s="113" t="s">
        <v>128</v>
      </c>
      <c r="D49" s="113" t="s">
        <v>129</v>
      </c>
      <c r="G49" s="113"/>
      <c r="J49" s="109" t="s">
        <v>130</v>
      </c>
      <c r="K49" s="110"/>
      <c r="M49" s="108" t="s">
        <v>131</v>
      </c>
      <c r="N49" s="107" t="n">
        <v>4</v>
      </c>
    </row>
    <row r="50" customFormat="false" ht="13.5" hidden="false" customHeight="true" outlineLevel="0" collapsed="false">
      <c r="A50" s="106" t="s">
        <v>132</v>
      </c>
      <c r="B50" s="107" t="n">
        <v>3</v>
      </c>
      <c r="D50" s="114" t="s">
        <v>133</v>
      </c>
      <c r="G50" s="113" t="s">
        <v>134</v>
      </c>
      <c r="J50" s="108" t="s">
        <v>135</v>
      </c>
      <c r="K50" s="107" t="n">
        <v>4</v>
      </c>
      <c r="M50" s="108" t="s">
        <v>136</v>
      </c>
      <c r="N50" s="107" t="n">
        <v>3</v>
      </c>
    </row>
    <row r="51" customFormat="false" ht="13.5" hidden="false" customHeight="true" outlineLevel="0" collapsed="false">
      <c r="A51" s="106" t="s">
        <v>137</v>
      </c>
      <c r="B51" s="107" t="n">
        <v>2</v>
      </c>
      <c r="D51" s="115" t="s">
        <v>138</v>
      </c>
      <c r="E51" s="107" t="n">
        <v>1.75</v>
      </c>
      <c r="G51" s="108" t="s">
        <v>139</v>
      </c>
      <c r="H51" s="107" t="n">
        <v>2.5</v>
      </c>
      <c r="J51" s="108" t="s">
        <v>140</v>
      </c>
      <c r="K51" s="107" t="n">
        <v>3</v>
      </c>
      <c r="M51" s="108" t="s">
        <v>141</v>
      </c>
      <c r="N51" s="107" t="n">
        <v>2</v>
      </c>
    </row>
    <row r="52" customFormat="false" ht="13.5" hidden="false" customHeight="true" outlineLevel="0" collapsed="false">
      <c r="A52" s="106" t="s">
        <v>142</v>
      </c>
      <c r="B52" s="107" t="n">
        <v>1</v>
      </c>
      <c r="D52" s="114" t="s">
        <v>143</v>
      </c>
      <c r="G52" s="108" t="s">
        <v>144</v>
      </c>
      <c r="H52" s="107" t="n">
        <v>1.5</v>
      </c>
      <c r="J52" s="108" t="s">
        <v>145</v>
      </c>
      <c r="K52" s="107" t="n">
        <v>1</v>
      </c>
      <c r="M52" s="108" t="s">
        <v>146</v>
      </c>
      <c r="N52" s="107" t="n">
        <v>1</v>
      </c>
    </row>
    <row r="53" customFormat="false" ht="13.5" hidden="false" customHeight="true" outlineLevel="0" collapsed="false">
      <c r="A53" s="106" t="s">
        <v>147</v>
      </c>
      <c r="B53" s="107" t="n">
        <v>-10</v>
      </c>
      <c r="D53" s="115" t="s">
        <v>148</v>
      </c>
      <c r="E53" s="107" t="n">
        <v>1.25</v>
      </c>
      <c r="G53" s="108" t="s">
        <v>149</v>
      </c>
      <c r="H53" s="107" t="n">
        <v>0</v>
      </c>
      <c r="J53" s="112"/>
      <c r="K53" s="104"/>
      <c r="M53" s="112"/>
    </row>
    <row r="54" customFormat="false" ht="13.5" hidden="false" customHeight="true" outlineLevel="0" collapsed="false">
      <c r="A54" s="112"/>
      <c r="D54" s="114" t="s">
        <v>150</v>
      </c>
      <c r="G54" s="108" t="s">
        <v>151</v>
      </c>
      <c r="H54" s="107" t="n">
        <v>-2</v>
      </c>
      <c r="J54" s="109" t="s">
        <v>152</v>
      </c>
      <c r="K54" s="110"/>
      <c r="M54" s="112"/>
    </row>
    <row r="55" customFormat="false" ht="14.25" hidden="false" customHeight="true" outlineLevel="0" collapsed="false">
      <c r="A55" s="113" t="s">
        <v>153</v>
      </c>
      <c r="D55" s="115" t="s">
        <v>154</v>
      </c>
      <c r="E55" s="107" t="n">
        <v>0.75</v>
      </c>
      <c r="G55" s="116"/>
      <c r="J55" s="108" t="s">
        <v>155</v>
      </c>
      <c r="K55" s="107" t="n">
        <v>4</v>
      </c>
      <c r="M55" s="113" t="s">
        <v>98</v>
      </c>
    </row>
    <row r="56" customFormat="false" ht="13.5" hidden="false" customHeight="true" outlineLevel="0" collapsed="false">
      <c r="A56" s="112" t="s">
        <v>156</v>
      </c>
      <c r="D56" s="114" t="s">
        <v>157</v>
      </c>
      <c r="G56" s="113" t="s">
        <v>158</v>
      </c>
      <c r="J56" s="108" t="s">
        <v>159</v>
      </c>
      <c r="K56" s="107" t="n">
        <v>3</v>
      </c>
      <c r="M56" s="108" t="s">
        <v>160</v>
      </c>
      <c r="N56" s="107" t="n">
        <v>4</v>
      </c>
    </row>
    <row r="57" customFormat="false" ht="13.5" hidden="false" customHeight="true" outlineLevel="0" collapsed="false">
      <c r="A57" s="106" t="s">
        <v>161</v>
      </c>
      <c r="B57" s="107" t="n">
        <v>1</v>
      </c>
      <c r="D57" s="115" t="s">
        <v>162</v>
      </c>
      <c r="E57" s="107" t="n">
        <v>1</v>
      </c>
      <c r="G57" s="108" t="s">
        <v>163</v>
      </c>
      <c r="H57" s="107" t="n">
        <v>4</v>
      </c>
      <c r="J57" s="108" t="s">
        <v>164</v>
      </c>
      <c r="K57" s="107" t="n">
        <v>0</v>
      </c>
      <c r="M57" s="108" t="s">
        <v>165</v>
      </c>
      <c r="N57" s="107" t="n">
        <v>2</v>
      </c>
    </row>
    <row r="58" customFormat="false" ht="13.5" hidden="false" customHeight="true" outlineLevel="0" collapsed="false">
      <c r="A58" s="106" t="s">
        <v>166</v>
      </c>
      <c r="B58" s="107" t="n">
        <v>-1</v>
      </c>
      <c r="D58" s="112"/>
      <c r="G58" s="108" t="s">
        <v>167</v>
      </c>
      <c r="H58" s="107" t="n">
        <v>2</v>
      </c>
      <c r="J58" s="112"/>
      <c r="K58" s="104"/>
      <c r="M58" s="117" t="s">
        <v>168</v>
      </c>
      <c r="N58" s="107" t="n">
        <v>0</v>
      </c>
    </row>
    <row r="59" customFormat="false" ht="13.5" hidden="false" customHeight="true" outlineLevel="0" collapsed="false">
      <c r="A59" s="106" t="s">
        <v>169</v>
      </c>
      <c r="B59" s="107" t="n">
        <v>0.2</v>
      </c>
      <c r="D59" s="113" t="s">
        <v>170</v>
      </c>
      <c r="G59" s="108" t="s">
        <v>171</v>
      </c>
      <c r="H59" s="107" t="n">
        <v>-20</v>
      </c>
      <c r="J59" s="109" t="s">
        <v>172</v>
      </c>
      <c r="K59" s="110"/>
    </row>
    <row r="60" customFormat="false" ht="13.5" hidden="false" customHeight="true" outlineLevel="0" collapsed="false">
      <c r="A60" s="112"/>
      <c r="D60" s="108" t="s">
        <v>173</v>
      </c>
      <c r="E60" s="107" t="n">
        <v>1.75</v>
      </c>
      <c r="G60" s="112"/>
      <c r="J60" s="108" t="s">
        <v>155</v>
      </c>
      <c r="K60" s="107" t="n">
        <v>4</v>
      </c>
    </row>
    <row r="61" customFormat="false" ht="13.5" hidden="false" customHeight="true" outlineLevel="0" collapsed="false">
      <c r="A61" s="112" t="s">
        <v>174</v>
      </c>
      <c r="D61" s="108" t="s">
        <v>175</v>
      </c>
      <c r="E61" s="107" t="n">
        <v>1</v>
      </c>
      <c r="G61" s="113" t="s">
        <v>176</v>
      </c>
      <c r="J61" s="108" t="s">
        <v>159</v>
      </c>
      <c r="K61" s="107" t="n">
        <v>3</v>
      </c>
    </row>
    <row r="62" customFormat="false" ht="13.5" hidden="false" customHeight="true" outlineLevel="0" collapsed="false">
      <c r="A62" s="106" t="s">
        <v>161</v>
      </c>
      <c r="B62" s="107" t="n">
        <v>1</v>
      </c>
      <c r="D62" s="108" t="s">
        <v>177</v>
      </c>
      <c r="E62" s="107" t="n">
        <v>0</v>
      </c>
      <c r="G62" s="112" t="s">
        <v>178</v>
      </c>
      <c r="J62" s="108" t="s">
        <v>179</v>
      </c>
      <c r="K62" s="107" t="n">
        <v>0</v>
      </c>
    </row>
    <row r="63" customFormat="false" ht="13.5" hidden="false" customHeight="true" outlineLevel="0" collapsed="false">
      <c r="A63" s="106" t="s">
        <v>166</v>
      </c>
      <c r="B63" s="107" t="n">
        <v>-1</v>
      </c>
      <c r="D63" s="112"/>
      <c r="G63" s="108" t="s">
        <v>180</v>
      </c>
      <c r="H63" s="107" t="n">
        <v>4</v>
      </c>
      <c r="J63" s="112"/>
      <c r="K63" s="104"/>
    </row>
    <row r="64" customFormat="false" ht="13.5" hidden="false" customHeight="true" outlineLevel="0" collapsed="false">
      <c r="A64" s="106" t="s">
        <v>169</v>
      </c>
      <c r="B64" s="107" t="n">
        <v>0.2</v>
      </c>
      <c r="D64" s="113" t="s">
        <v>181</v>
      </c>
      <c r="G64" s="108" t="s">
        <v>182</v>
      </c>
      <c r="H64" s="107" t="n">
        <v>3</v>
      </c>
      <c r="J64" s="109" t="s">
        <v>183</v>
      </c>
      <c r="K64" s="110"/>
    </row>
    <row r="65" customFormat="false" ht="13.5" hidden="false" customHeight="true" outlineLevel="0" collapsed="false">
      <c r="A65" s="112"/>
      <c r="D65" s="108" t="s">
        <v>184</v>
      </c>
      <c r="E65" s="107" t="n">
        <v>1</v>
      </c>
      <c r="G65" s="108" t="s">
        <v>185</v>
      </c>
      <c r="H65" s="107" t="n">
        <v>2</v>
      </c>
      <c r="J65" s="108" t="s">
        <v>186</v>
      </c>
      <c r="K65" s="107" t="n">
        <v>4</v>
      </c>
    </row>
    <row r="66" customFormat="false" ht="13.5" hidden="false" customHeight="true" outlineLevel="0" collapsed="false">
      <c r="A66" s="113" t="s">
        <v>187</v>
      </c>
      <c r="D66" s="108" t="s">
        <v>188</v>
      </c>
      <c r="E66" s="107" t="n">
        <v>0.75</v>
      </c>
      <c r="G66" s="108" t="s">
        <v>189</v>
      </c>
      <c r="H66" s="107" t="n">
        <v>-20</v>
      </c>
      <c r="J66" s="108" t="s">
        <v>190</v>
      </c>
      <c r="K66" s="107" t="n">
        <v>3</v>
      </c>
    </row>
    <row r="67" customFormat="false" ht="13.5" hidden="false" customHeight="true" outlineLevel="0" collapsed="false">
      <c r="A67" s="113" t="s">
        <v>191</v>
      </c>
      <c r="D67" s="108" t="s">
        <v>192</v>
      </c>
      <c r="E67" s="107" t="n">
        <v>0.5</v>
      </c>
      <c r="G67" s="112"/>
      <c r="J67" s="108" t="s">
        <v>193</v>
      </c>
      <c r="K67" s="107" t="n">
        <v>0</v>
      </c>
    </row>
    <row r="68" customFormat="false" ht="13.5" hidden="false" customHeight="true" outlineLevel="0" collapsed="false">
      <c r="A68" s="106" t="s">
        <v>194</v>
      </c>
      <c r="B68" s="107" t="n">
        <v>6</v>
      </c>
      <c r="D68" s="108" t="s">
        <v>195</v>
      </c>
      <c r="E68" s="107" t="n">
        <v>0</v>
      </c>
      <c r="G68" s="113" t="s">
        <v>196</v>
      </c>
      <c r="J68" s="112"/>
      <c r="K68" s="104"/>
    </row>
    <row r="69" customFormat="false" ht="13.5" hidden="false" customHeight="true" outlineLevel="0" collapsed="false">
      <c r="A69" s="106" t="s">
        <v>197</v>
      </c>
      <c r="B69" s="107" t="n">
        <v>4</v>
      </c>
      <c r="D69" s="112"/>
      <c r="G69" s="108" t="s">
        <v>198</v>
      </c>
      <c r="H69" s="107" t="n">
        <v>2.5</v>
      </c>
      <c r="J69" s="109" t="s">
        <v>199</v>
      </c>
      <c r="K69" s="110"/>
    </row>
    <row r="70" customFormat="false" ht="13.5" hidden="false" customHeight="true" outlineLevel="0" collapsed="false">
      <c r="A70" s="106" t="s">
        <v>200</v>
      </c>
      <c r="B70" s="107" t="n">
        <v>-100</v>
      </c>
      <c r="D70" s="113" t="s">
        <v>201</v>
      </c>
      <c r="G70" s="108" t="s">
        <v>202</v>
      </c>
      <c r="H70" s="107" t="n">
        <v>2</v>
      </c>
      <c r="J70" s="108" t="s">
        <v>203</v>
      </c>
      <c r="K70" s="107" t="n">
        <v>4</v>
      </c>
    </row>
    <row r="71" customFormat="false" ht="13.5" hidden="false" customHeight="true" outlineLevel="0" collapsed="false">
      <c r="A71" s="108" t="s">
        <v>204</v>
      </c>
      <c r="B71" s="107" t="n">
        <v>-100</v>
      </c>
      <c r="D71" s="108" t="s">
        <v>205</v>
      </c>
      <c r="E71" s="107" t="n">
        <v>0.5</v>
      </c>
      <c r="G71" s="108" t="s">
        <v>206</v>
      </c>
      <c r="H71" s="107" t="n">
        <v>1.5</v>
      </c>
      <c r="J71" s="108" t="s">
        <v>207</v>
      </c>
      <c r="K71" s="107" t="n">
        <v>2</v>
      </c>
    </row>
    <row r="72" customFormat="false" ht="13.5" hidden="false" customHeight="true" outlineLevel="0" collapsed="false">
      <c r="A72" s="108" t="s">
        <v>208</v>
      </c>
      <c r="B72" s="107" t="n">
        <v>-20</v>
      </c>
      <c r="D72" s="108" t="s">
        <v>209</v>
      </c>
      <c r="E72" s="107" t="n">
        <v>0.25</v>
      </c>
      <c r="G72" s="112"/>
      <c r="J72" s="108" t="s">
        <v>210</v>
      </c>
      <c r="K72" s="107" t="n">
        <v>-15</v>
      </c>
    </row>
    <row r="73" customFormat="false" ht="13.5" hidden="false" customHeight="true" outlineLevel="0" collapsed="false">
      <c r="A73" s="108" t="s">
        <v>211</v>
      </c>
      <c r="B73" s="107" t="n">
        <v>1</v>
      </c>
      <c r="D73" s="108" t="s">
        <v>212</v>
      </c>
      <c r="E73" s="107" t="n">
        <v>0</v>
      </c>
      <c r="G73" s="118" t="s">
        <v>213</v>
      </c>
      <c r="J73" s="112"/>
    </row>
    <row r="74" customFormat="false" ht="13.5" hidden="false" customHeight="true" outlineLevel="0" collapsed="false">
      <c r="A74" s="112"/>
      <c r="D74" s="112"/>
      <c r="G74" s="108" t="s">
        <v>214</v>
      </c>
      <c r="H74" s="107" t="n">
        <v>4</v>
      </c>
      <c r="J74" s="119"/>
    </row>
    <row r="75" customFormat="false" ht="13.5" hidden="false" customHeight="true" outlineLevel="0" collapsed="false">
      <c r="A75" s="113" t="s">
        <v>215</v>
      </c>
      <c r="D75" s="113" t="s">
        <v>216</v>
      </c>
      <c r="G75" s="108" t="s">
        <v>217</v>
      </c>
      <c r="H75" s="107" t="n">
        <v>3</v>
      </c>
      <c r="J75" s="113" t="s">
        <v>218</v>
      </c>
    </row>
    <row r="76" customFormat="false" ht="13.5" hidden="false" customHeight="true" outlineLevel="0" collapsed="false">
      <c r="A76" s="108" t="s">
        <v>219</v>
      </c>
      <c r="B76" s="107" t="n">
        <v>5</v>
      </c>
      <c r="D76" s="108" t="s">
        <v>220</v>
      </c>
      <c r="E76" s="107" t="n">
        <v>3.5</v>
      </c>
      <c r="G76" s="108" t="s">
        <v>221</v>
      </c>
      <c r="H76" s="107" t="n">
        <v>2</v>
      </c>
      <c r="J76" s="109" t="s">
        <v>222</v>
      </c>
    </row>
    <row r="77" customFormat="false" ht="13.5" hidden="false" customHeight="true" outlineLevel="0" collapsed="false">
      <c r="A77" s="108" t="s">
        <v>223</v>
      </c>
      <c r="B77" s="107" t="n">
        <v>4</v>
      </c>
      <c r="D77" s="108" t="s">
        <v>224</v>
      </c>
      <c r="E77" s="107" t="n">
        <v>1.5</v>
      </c>
      <c r="G77" s="108" t="s">
        <v>225</v>
      </c>
      <c r="H77" s="107" t="n">
        <v>0</v>
      </c>
      <c r="J77" s="108" t="s">
        <v>226</v>
      </c>
      <c r="K77" s="107" t="n">
        <v>4</v>
      </c>
    </row>
    <row r="78" customFormat="false" ht="13.5" hidden="false" customHeight="true" outlineLevel="0" collapsed="false">
      <c r="A78" s="108" t="s">
        <v>227</v>
      </c>
      <c r="B78" s="107" t="n">
        <v>3</v>
      </c>
      <c r="D78" s="108"/>
      <c r="G78" s="112"/>
      <c r="J78" s="108" t="s">
        <v>228</v>
      </c>
      <c r="K78" s="107" t="n">
        <v>1</v>
      </c>
    </row>
    <row r="79" customFormat="false" ht="13.5" hidden="false" customHeight="true" outlineLevel="0" collapsed="false">
      <c r="A79" s="108" t="s">
        <v>229</v>
      </c>
      <c r="B79" s="107" t="n">
        <v>2</v>
      </c>
      <c r="D79" s="113" t="s">
        <v>230</v>
      </c>
      <c r="G79" s="118" t="s">
        <v>231</v>
      </c>
      <c r="J79" s="108" t="s">
        <v>232</v>
      </c>
      <c r="K79" s="107" t="n">
        <v>0</v>
      </c>
    </row>
    <row r="80" customFormat="false" ht="13.5" hidden="false" customHeight="true" outlineLevel="0" collapsed="false">
      <c r="A80" s="108" t="s">
        <v>233</v>
      </c>
      <c r="B80" s="107" t="n">
        <v>-5</v>
      </c>
      <c r="D80" s="108" t="s">
        <v>234</v>
      </c>
      <c r="E80" s="107" t="n">
        <v>3.5</v>
      </c>
      <c r="G80" s="108" t="s">
        <v>235</v>
      </c>
      <c r="H80" s="107" t="n">
        <v>4</v>
      </c>
      <c r="J80" s="108" t="s">
        <v>236</v>
      </c>
      <c r="K80" s="107" t="n">
        <v>-20</v>
      </c>
    </row>
    <row r="81" customFormat="false" ht="13.5" hidden="false" customHeight="true" outlineLevel="0" collapsed="false">
      <c r="A81" s="108" t="s">
        <v>237</v>
      </c>
      <c r="B81" s="107" t="n">
        <v>-15</v>
      </c>
      <c r="D81" s="108" t="s">
        <v>238</v>
      </c>
      <c r="E81" s="107" t="n">
        <v>1.5</v>
      </c>
      <c r="G81" s="108" t="s">
        <v>159</v>
      </c>
      <c r="H81" s="107" t="n">
        <v>2</v>
      </c>
      <c r="J81" s="112"/>
    </row>
    <row r="82" customFormat="false" ht="13.5" hidden="false" customHeight="true" outlineLevel="0" collapsed="false">
      <c r="A82" s="112"/>
      <c r="D82" s="108"/>
      <c r="G82" s="117" t="s">
        <v>239</v>
      </c>
      <c r="H82" s="107" t="n">
        <v>0</v>
      </c>
      <c r="J82" s="109" t="s">
        <v>240</v>
      </c>
    </row>
    <row r="83" customFormat="false" ht="13.5" hidden="false" customHeight="true" outlineLevel="0" collapsed="false">
      <c r="A83" s="113" t="s">
        <v>241</v>
      </c>
      <c r="D83" s="113" t="s">
        <v>242</v>
      </c>
      <c r="J83" s="108" t="s">
        <v>243</v>
      </c>
      <c r="K83" s="107" t="n">
        <v>4</v>
      </c>
    </row>
    <row r="84" customFormat="false" ht="13.5" hidden="false" customHeight="true" outlineLevel="0" collapsed="false">
      <c r="A84" s="108" t="s">
        <v>244</v>
      </c>
      <c r="B84" s="107" t="n">
        <v>2</v>
      </c>
      <c r="D84" s="108" t="s">
        <v>245</v>
      </c>
      <c r="E84" s="107" t="n">
        <v>2.5</v>
      </c>
      <c r="J84" s="108" t="s">
        <v>246</v>
      </c>
      <c r="K84" s="107" t="n">
        <v>3</v>
      </c>
    </row>
    <row r="85" customFormat="false" ht="13.5" hidden="false" customHeight="true" outlineLevel="0" collapsed="false">
      <c r="A85" s="108" t="s">
        <v>247</v>
      </c>
      <c r="B85" s="107" t="n">
        <v>2</v>
      </c>
      <c r="D85" s="108" t="s">
        <v>248</v>
      </c>
      <c r="E85" s="107" t="n">
        <v>2</v>
      </c>
      <c r="J85" s="108" t="s">
        <v>145</v>
      </c>
      <c r="K85" s="107" t="n">
        <v>1</v>
      </c>
    </row>
    <row r="86" customFormat="false" ht="13.5" hidden="false" customHeight="true" outlineLevel="0" collapsed="false">
      <c r="A86" s="108" t="s">
        <v>249</v>
      </c>
      <c r="B86" s="107" t="n">
        <v>1</v>
      </c>
      <c r="D86" s="108" t="s">
        <v>250</v>
      </c>
      <c r="E86" s="107" t="n">
        <v>1.5</v>
      </c>
      <c r="J86" s="108" t="s">
        <v>251</v>
      </c>
      <c r="K86" s="107" t="n">
        <v>-20</v>
      </c>
    </row>
    <row r="87" customFormat="false" ht="13.5" hidden="false" customHeight="true" outlineLevel="0" collapsed="false">
      <c r="A87" s="108" t="s">
        <v>252</v>
      </c>
      <c r="B87" s="107" t="n">
        <v>1</v>
      </c>
      <c r="D87" s="112"/>
      <c r="J87" s="108"/>
    </row>
    <row r="88" customFormat="false" ht="13.5" hidden="false" customHeight="true" outlineLevel="0" collapsed="false">
      <c r="A88" s="108" t="s">
        <v>253</v>
      </c>
      <c r="B88" s="107" t="n">
        <v>1</v>
      </c>
      <c r="D88" s="113" t="s">
        <v>254</v>
      </c>
      <c r="J88" s="109" t="s">
        <v>255</v>
      </c>
    </row>
    <row r="89" customFormat="false" ht="13.5" hidden="false" customHeight="true" outlineLevel="0" collapsed="false">
      <c r="A89" s="108"/>
      <c r="D89" s="108" t="s">
        <v>256</v>
      </c>
      <c r="E89" s="107" t="n">
        <v>3</v>
      </c>
      <c r="J89" s="108" t="s">
        <v>203</v>
      </c>
      <c r="K89" s="107" t="n">
        <v>4</v>
      </c>
    </row>
    <row r="90" customFormat="false" ht="13.5" hidden="false" customHeight="true" outlineLevel="0" collapsed="false">
      <c r="A90" s="113" t="s">
        <v>257</v>
      </c>
      <c r="D90" s="108" t="s">
        <v>258</v>
      </c>
      <c r="E90" s="107" t="n">
        <v>2</v>
      </c>
      <c r="J90" s="108" t="s">
        <v>259</v>
      </c>
      <c r="K90" s="107" t="n">
        <v>3</v>
      </c>
    </row>
    <row r="91" customFormat="false" ht="13.5" hidden="false" customHeight="true" outlineLevel="0" collapsed="false">
      <c r="A91" s="108" t="s">
        <v>260</v>
      </c>
      <c r="B91" s="107" t="n">
        <v>1</v>
      </c>
      <c r="D91" s="108" t="s">
        <v>261</v>
      </c>
      <c r="E91" s="107" t="n">
        <v>1</v>
      </c>
      <c r="J91" s="108" t="s">
        <v>262</v>
      </c>
      <c r="K91" s="107" t="n">
        <v>2</v>
      </c>
    </row>
    <row r="92" customFormat="false" ht="13.5" hidden="false" customHeight="true" outlineLevel="0" collapsed="false">
      <c r="A92" s="108" t="s">
        <v>263</v>
      </c>
      <c r="B92" s="107" t="n">
        <v>3</v>
      </c>
      <c r="D92" s="108"/>
      <c r="J92" s="108" t="s">
        <v>264</v>
      </c>
      <c r="K92" s="107" t="n">
        <v>0</v>
      </c>
    </row>
    <row r="93" customFormat="false" ht="13.5" hidden="false" customHeight="true" outlineLevel="0" collapsed="false">
      <c r="A93" s="112"/>
      <c r="D93" s="113" t="s">
        <v>265</v>
      </c>
      <c r="J93" s="112"/>
    </row>
    <row r="94" customFormat="false" ht="13.5" hidden="false" customHeight="true" outlineLevel="0" collapsed="false">
      <c r="A94" s="113" t="s">
        <v>266</v>
      </c>
      <c r="D94" s="108" t="s">
        <v>256</v>
      </c>
      <c r="E94" s="107" t="n">
        <v>3</v>
      </c>
      <c r="J94" s="109" t="s">
        <v>267</v>
      </c>
    </row>
    <row r="95" customFormat="false" ht="13.5" hidden="false" customHeight="true" outlineLevel="0" collapsed="false">
      <c r="A95" s="108" t="s">
        <v>268</v>
      </c>
      <c r="B95" s="107" t="n">
        <v>3</v>
      </c>
      <c r="D95" s="117" t="s">
        <v>258</v>
      </c>
      <c r="E95" s="107" t="n">
        <v>1</v>
      </c>
      <c r="J95" s="108" t="s">
        <v>186</v>
      </c>
      <c r="K95" s="107" t="n">
        <v>4</v>
      </c>
    </row>
    <row r="96" customFormat="false" ht="13.5" hidden="false" customHeight="true" outlineLevel="0" collapsed="false">
      <c r="A96" s="108" t="s">
        <v>269</v>
      </c>
      <c r="B96" s="107" t="n">
        <v>2</v>
      </c>
      <c r="J96" s="108" t="s">
        <v>270</v>
      </c>
      <c r="K96" s="107" t="n">
        <v>3</v>
      </c>
    </row>
    <row r="97" customFormat="false" ht="13.5" hidden="false" customHeight="true" outlineLevel="0" collapsed="false">
      <c r="A97" s="117" t="s">
        <v>271</v>
      </c>
      <c r="B97" s="107" t="n">
        <v>0</v>
      </c>
      <c r="J97" s="108" t="s">
        <v>272</v>
      </c>
      <c r="K97" s="107" t="n">
        <v>0</v>
      </c>
    </row>
    <row r="98" customFormat="false" ht="13.5" hidden="false" customHeight="true" outlineLevel="0" collapsed="false">
      <c r="J98" s="117" t="s">
        <v>273</v>
      </c>
      <c r="K98" s="107" t="n">
        <v>-20</v>
      </c>
    </row>
  </sheetData>
  <mergeCells count="6">
    <mergeCell ref="A2:B2"/>
    <mergeCell ref="D2:E2"/>
    <mergeCell ref="A11:B11"/>
    <mergeCell ref="D13:E13"/>
    <mergeCell ref="A23:B23"/>
    <mergeCell ref="D30:E3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71"/>
  <sheetViews>
    <sheetView showFormulas="false" showGridLines="true" showRowColHeaders="true" showZeros="true" rightToLeft="false" tabSelected="false" showOutlineSymbols="true" defaultGridColor="true" view="normal" topLeftCell="A55" colorId="64" zoomScale="40" zoomScaleNormal="40" zoomScalePageLayoutView="100" workbookViewId="0">
      <selection pane="topLeft" activeCell="A55" activeCellId="0" sqref="A55"/>
    </sheetView>
  </sheetViews>
  <sheetFormatPr defaultColWidth="11.2890625" defaultRowHeight="13.5" zeroHeight="false" outlineLevelRow="0" outlineLevelCol="0"/>
  <cols>
    <col collapsed="false" customWidth="true" hidden="false" outlineLevel="0" max="1" min="1" style="120" width="44"/>
    <col collapsed="false" customWidth="true" hidden="false" outlineLevel="0" max="2" min="2" style="121" width="10.57"/>
    <col collapsed="false" customWidth="true" hidden="false" outlineLevel="0" max="3" min="3" style="122" width="10.57"/>
    <col collapsed="false" customWidth="true" hidden="false" outlineLevel="0" max="4" min="4" style="121" width="10.57"/>
    <col collapsed="false" customWidth="true" hidden="false" outlineLevel="0" max="5" min="5" style="120" width="2.71"/>
    <col collapsed="false" customWidth="true" hidden="false" outlineLevel="0" max="6" min="6" style="120" width="26.71"/>
    <col collapsed="false" customWidth="false" hidden="false" outlineLevel="0" max="16384" min="7" style="120" width="11.29"/>
  </cols>
  <sheetData>
    <row r="2" customFormat="false" ht="13.5" hidden="false" customHeight="true" outlineLevel="0" collapsed="false">
      <c r="A2" s="123" t="s">
        <v>48</v>
      </c>
      <c r="B2" s="123"/>
      <c r="C2" s="123"/>
    </row>
    <row r="3" customFormat="false" ht="13.5" hidden="false" customHeight="true" outlineLevel="0" collapsed="false">
      <c r="A3" s="124"/>
      <c r="C3" s="125"/>
    </row>
    <row r="4" customFormat="false" ht="13.5" hidden="false" customHeight="true" outlineLevel="0" collapsed="false">
      <c r="A4" s="126" t="s">
        <v>51</v>
      </c>
      <c r="B4" s="127" t="n">
        <f aca="false">+'ENTRADA DE PARAMETROS'!B4</f>
        <v>29</v>
      </c>
      <c r="C4" s="128" t="n">
        <f aca="false">(B4/$B$9)*100</f>
        <v>23.7704918032787</v>
      </c>
    </row>
    <row r="5" customFormat="false" ht="13.5" hidden="false" customHeight="true" outlineLevel="0" collapsed="false">
      <c r="A5" s="126" t="s">
        <v>53</v>
      </c>
      <c r="B5" s="127" t="n">
        <f aca="false">+'ENTRADA DE PARAMETROS'!B5</f>
        <v>21</v>
      </c>
      <c r="C5" s="128" t="n">
        <f aca="false">(B5/$B$9)*100</f>
        <v>17.2131147540984</v>
      </c>
    </row>
    <row r="6" customFormat="false" ht="13.5" hidden="false" customHeight="true" outlineLevel="0" collapsed="false">
      <c r="A6" s="126" t="s">
        <v>55</v>
      </c>
      <c r="B6" s="127" t="n">
        <f aca="false">+'ENTRADA DE PARAMETROS'!B6</f>
        <v>29</v>
      </c>
      <c r="C6" s="128" t="n">
        <f aca="false">(B6/$B$9)*100</f>
        <v>23.7704918032787</v>
      </c>
    </row>
    <row r="7" customFormat="false" ht="13.5" hidden="false" customHeight="true" outlineLevel="0" collapsed="false">
      <c r="A7" s="126" t="s">
        <v>57</v>
      </c>
      <c r="B7" s="127" t="n">
        <f aca="false">+'ENTRADA DE PARAMETROS'!B7</f>
        <v>21</v>
      </c>
      <c r="C7" s="128" t="n">
        <f aca="false">(B7/$B$9)*100</f>
        <v>17.2131147540984</v>
      </c>
    </row>
    <row r="8" customFormat="false" ht="13.5" hidden="false" customHeight="true" outlineLevel="0" collapsed="false">
      <c r="A8" s="126" t="s">
        <v>59</v>
      </c>
      <c r="B8" s="127" t="n">
        <f aca="false">+'ENTRADA DE PARAMETROS'!B8</f>
        <v>22</v>
      </c>
      <c r="C8" s="128" t="n">
        <f aca="false">(B8/$B$9)*100</f>
        <v>18.0327868852459</v>
      </c>
    </row>
    <row r="9" customFormat="false" ht="13.5" hidden="false" customHeight="true" outlineLevel="0" collapsed="false">
      <c r="A9" s="129" t="s">
        <v>61</v>
      </c>
      <c r="B9" s="130" t="n">
        <f aca="false">SUM(B4:B8)</f>
        <v>122</v>
      </c>
      <c r="C9" s="131" t="n">
        <f aca="false">SUM(C4:C8)</f>
        <v>100</v>
      </c>
    </row>
    <row r="12" customFormat="false" ht="13.5" hidden="false" customHeight="true" outlineLevel="0" collapsed="false">
      <c r="A12" s="123" t="s">
        <v>64</v>
      </c>
      <c r="B12" s="123"/>
      <c r="C12" s="123"/>
    </row>
    <row r="14" customFormat="false" ht="13.5" hidden="false" customHeight="true" outlineLevel="0" collapsed="false">
      <c r="A14" s="132" t="s">
        <v>65</v>
      </c>
      <c r="B14" s="127" t="n">
        <f aca="false">+'ENTRADA DE PARAMETROS'!B13</f>
        <v>29</v>
      </c>
      <c r="C14" s="133" t="n">
        <f aca="false">+B14/$B$22</f>
        <v>0.174698795180723</v>
      </c>
      <c r="D14" s="134" t="n">
        <f aca="false">+C14*$D$22</f>
        <v>4.15267627888604</v>
      </c>
    </row>
    <row r="15" customFormat="false" ht="13.5" hidden="false" customHeight="true" outlineLevel="0" collapsed="false">
      <c r="A15" s="132" t="s">
        <v>67</v>
      </c>
      <c r="B15" s="127" t="n">
        <f aca="false">+'ENTRADA DE PARAMETROS'!B14</f>
        <v>21</v>
      </c>
      <c r="C15" s="133" t="n">
        <f aca="false">+B15/$B$22</f>
        <v>0.126506024096386</v>
      </c>
      <c r="D15" s="134" t="n">
        <f aca="false">+C15*$D$22</f>
        <v>3.00711040884851</v>
      </c>
    </row>
    <row r="16" customFormat="false" ht="13.5" hidden="false" customHeight="true" outlineLevel="0" collapsed="false">
      <c r="A16" s="132" t="s">
        <v>68</v>
      </c>
      <c r="B16" s="127" t="n">
        <f aca="false">+'ENTRADA DE PARAMETROS'!B15</f>
        <v>17</v>
      </c>
      <c r="C16" s="133" t="n">
        <f aca="false">+B16/$B$22</f>
        <v>0.102409638554217</v>
      </c>
      <c r="D16" s="134" t="n">
        <f aca="false">+C16*$D$22</f>
        <v>2.43432747382975</v>
      </c>
    </row>
    <row r="17" customFormat="false" ht="13.5" hidden="false" customHeight="true" outlineLevel="0" collapsed="false">
      <c r="A17" s="132" t="s">
        <v>274</v>
      </c>
      <c r="B17" s="127" t="n">
        <f aca="false">+'ENTRADA DE PARAMETROS'!B16</f>
        <v>29</v>
      </c>
      <c r="C17" s="133" t="n">
        <f aca="false">+B17/$B$22</f>
        <v>0.174698795180723</v>
      </c>
      <c r="D17" s="134" t="n">
        <f aca="false">+C17*$D$22</f>
        <v>4.15267627888604</v>
      </c>
    </row>
    <row r="18" customFormat="false" ht="13.5" hidden="false" customHeight="true" outlineLevel="0" collapsed="false">
      <c r="A18" s="132" t="s">
        <v>72</v>
      </c>
      <c r="B18" s="127" t="n">
        <f aca="false">+'ENTRADA DE PARAMETROS'!B17</f>
        <v>21</v>
      </c>
      <c r="C18" s="133" t="n">
        <f aca="false">+B18/$B$22</f>
        <v>0.126506024096386</v>
      </c>
      <c r="D18" s="134" t="n">
        <f aca="false">+C18*$D$22</f>
        <v>3.00711040884851</v>
      </c>
    </row>
    <row r="19" customFormat="false" ht="13.5" hidden="false" customHeight="true" outlineLevel="0" collapsed="false">
      <c r="A19" s="132" t="s">
        <v>74</v>
      </c>
      <c r="B19" s="127" t="n">
        <f aca="false">+'ENTRADA DE PARAMETROS'!B18</f>
        <v>15</v>
      </c>
      <c r="C19" s="133" t="n">
        <f aca="false">+B19/$B$22</f>
        <v>0.0903614457831325</v>
      </c>
      <c r="D19" s="134" t="n">
        <f aca="false">+C19*$D$22</f>
        <v>2.14793600632036</v>
      </c>
    </row>
    <row r="20" customFormat="false" ht="13.5" hidden="false" customHeight="true" outlineLevel="0" collapsed="false">
      <c r="A20" s="132" t="s">
        <v>76</v>
      </c>
      <c r="B20" s="127" t="n">
        <f aca="false">+'ENTRADA DE PARAMETROS'!B19</f>
        <v>13</v>
      </c>
      <c r="C20" s="133" t="n">
        <f aca="false">+B20/$B$22</f>
        <v>0.0783132530120482</v>
      </c>
      <c r="D20" s="134" t="n">
        <f aca="false">+C20*$D$22</f>
        <v>1.86154453881098</v>
      </c>
    </row>
    <row r="21" customFormat="false" ht="13.5" hidden="false" customHeight="true" outlineLevel="0" collapsed="false">
      <c r="A21" s="132" t="s">
        <v>78</v>
      </c>
      <c r="B21" s="127" t="n">
        <f aca="false">+'ENTRADA DE PARAMETROS'!B20</f>
        <v>21</v>
      </c>
      <c r="C21" s="133" t="n">
        <f aca="false">+B21/$B$22</f>
        <v>0.126506024096386</v>
      </c>
      <c r="D21" s="134" t="n">
        <f aca="false">+C21*$D$22</f>
        <v>3.00711040884851</v>
      </c>
    </row>
    <row r="22" customFormat="false" ht="13.5" hidden="false" customHeight="true" outlineLevel="0" collapsed="false">
      <c r="B22" s="135" t="n">
        <f aca="false">SUM(B14:B21)</f>
        <v>166</v>
      </c>
      <c r="C22" s="136" t="n">
        <f aca="false">SUM(C14:C21)</f>
        <v>1</v>
      </c>
      <c r="D22" s="135" t="n">
        <f aca="false">+C4</f>
        <v>23.7704918032787</v>
      </c>
    </row>
    <row r="24" customFormat="false" ht="13.5" hidden="false" customHeight="true" outlineLevel="0" collapsed="false">
      <c r="A24" s="123" t="s">
        <v>81</v>
      </c>
      <c r="B24" s="123"/>
      <c r="C24" s="123"/>
    </row>
    <row r="26" customFormat="false" ht="13.5" hidden="false" customHeight="true" outlineLevel="0" collapsed="false">
      <c r="A26" s="132" t="s">
        <v>84</v>
      </c>
      <c r="B26" s="127" t="n">
        <f aca="false">+'ENTRADA DE PARAMETROS'!B25</f>
        <v>27</v>
      </c>
      <c r="C26" s="133" t="n">
        <f aca="false">+B26/$B$34</f>
        <v>0.146739130434783</v>
      </c>
      <c r="D26" s="134" t="n">
        <f aca="false">+C26*$D$34</f>
        <v>2.52583749109052</v>
      </c>
    </row>
    <row r="27" customFormat="false" ht="13.5" hidden="false" customHeight="true" outlineLevel="0" collapsed="false">
      <c r="A27" s="132" t="s">
        <v>86</v>
      </c>
      <c r="B27" s="127" t="n">
        <f aca="false">+'ENTRADA DE PARAMETROS'!B26</f>
        <v>24</v>
      </c>
      <c r="C27" s="133" t="n">
        <f aca="false">+B27/$B$34</f>
        <v>0.130434782608696</v>
      </c>
      <c r="D27" s="134" t="n">
        <f aca="false">+C27*$D$34</f>
        <v>2.24518888096935</v>
      </c>
    </row>
    <row r="28" customFormat="false" ht="13.5" hidden="false" customHeight="true" outlineLevel="0" collapsed="false">
      <c r="A28" s="132" t="s">
        <v>88</v>
      </c>
      <c r="B28" s="127" t="n">
        <f aca="false">+'ENTRADA DE PARAMETROS'!B27</f>
        <v>25</v>
      </c>
      <c r="C28" s="133" t="n">
        <f aca="false">+B28/$B$34</f>
        <v>0.135869565217391</v>
      </c>
      <c r="D28" s="134" t="n">
        <f aca="false">+C28*$D$34</f>
        <v>2.33873841767641</v>
      </c>
    </row>
    <row r="29" customFormat="false" ht="13.5" hidden="false" customHeight="true" outlineLevel="0" collapsed="false">
      <c r="A29" s="132" t="s">
        <v>90</v>
      </c>
      <c r="B29" s="127" t="n">
        <f aca="false">+'ENTRADA DE PARAMETROS'!B28</f>
        <v>21</v>
      </c>
      <c r="C29" s="133" t="n">
        <f aca="false">+B29/$B$34</f>
        <v>0.114130434782609</v>
      </c>
      <c r="D29" s="134" t="n">
        <f aca="false">+C29*$D$34</f>
        <v>1.96454027084818</v>
      </c>
    </row>
    <row r="30" customFormat="false" ht="13.5" hidden="false" customHeight="true" outlineLevel="0" collapsed="false">
      <c r="A30" s="132" t="s">
        <v>91</v>
      </c>
      <c r="B30" s="127" t="n">
        <f aca="false">+'ENTRADA DE PARAMETROS'!B29</f>
        <v>20</v>
      </c>
      <c r="C30" s="133" t="n">
        <f aca="false">+B30/$B$34</f>
        <v>0.108695652173913</v>
      </c>
      <c r="D30" s="134" t="n">
        <f aca="false">+C30*$D$34</f>
        <v>1.87099073414113</v>
      </c>
    </row>
    <row r="31" customFormat="false" ht="13.5" hidden="false" customHeight="true" outlineLevel="0" collapsed="false">
      <c r="A31" s="132" t="s">
        <v>92</v>
      </c>
      <c r="B31" s="127" t="n">
        <f aca="false">+'ENTRADA DE PARAMETROS'!B30</f>
        <v>24</v>
      </c>
      <c r="C31" s="133" t="n">
        <f aca="false">+B31/$B$34</f>
        <v>0.130434782608696</v>
      </c>
      <c r="D31" s="134" t="n">
        <f aca="false">+C31*$D$34</f>
        <v>2.24518888096935</v>
      </c>
    </row>
    <row r="32" customFormat="false" ht="13.5" hidden="false" customHeight="true" outlineLevel="0" collapsed="false">
      <c r="A32" s="132" t="s">
        <v>94</v>
      </c>
      <c r="B32" s="127" t="n">
        <f aca="false">+'ENTRADA DE PARAMETROS'!B31</f>
        <v>22</v>
      </c>
      <c r="C32" s="133" t="n">
        <f aca="false">+B32/$B$34</f>
        <v>0.119565217391304</v>
      </c>
      <c r="D32" s="134" t="n">
        <f aca="false">+C32*$D$34</f>
        <v>2.05808980755524</v>
      </c>
    </row>
    <row r="33" customFormat="false" ht="13.5" hidden="false" customHeight="true" outlineLevel="0" collapsed="false">
      <c r="A33" s="132" t="s">
        <v>95</v>
      </c>
      <c r="B33" s="127" t="n">
        <f aca="false">+'ENTRADA DE PARAMETROS'!B32</f>
        <v>21</v>
      </c>
      <c r="C33" s="133" t="n">
        <f aca="false">+B33/$B$34</f>
        <v>0.114130434782609</v>
      </c>
      <c r="D33" s="134" t="n">
        <f aca="false">+C33*$D$34</f>
        <v>1.96454027084818</v>
      </c>
    </row>
    <row r="34" customFormat="false" ht="13.5" hidden="false" customHeight="true" outlineLevel="0" collapsed="false">
      <c r="B34" s="135" t="n">
        <f aca="false">SUM(B26:B33)</f>
        <v>184</v>
      </c>
      <c r="C34" s="136" t="n">
        <f aca="false">SUM(C26:C33)</f>
        <v>1</v>
      </c>
      <c r="D34" s="135" t="n">
        <f aca="false">+C5</f>
        <v>17.2131147540984</v>
      </c>
    </row>
    <row r="36" customFormat="false" ht="13.5" hidden="false" customHeight="true" outlineLevel="0" collapsed="false">
      <c r="A36" s="123" t="s">
        <v>49</v>
      </c>
      <c r="B36" s="123"/>
      <c r="C36" s="123"/>
    </row>
    <row r="38" customFormat="false" ht="13.5" hidden="false" customHeight="true" outlineLevel="0" collapsed="false">
      <c r="A38" s="132" t="s">
        <v>52</v>
      </c>
      <c r="B38" s="127" t="n">
        <f aca="false">+'ENTRADA DE PARAMETROS'!E4</f>
        <v>30</v>
      </c>
      <c r="C38" s="133" t="n">
        <f aca="false">+B38/$B$45</f>
        <v>0.177514792899408</v>
      </c>
      <c r="D38" s="134" t="n">
        <f aca="false">+C38*$D$45</f>
        <v>4.2196139295761</v>
      </c>
    </row>
    <row r="39" customFormat="false" ht="13.5" hidden="false" customHeight="true" outlineLevel="0" collapsed="false">
      <c r="A39" s="132" t="s">
        <v>54</v>
      </c>
      <c r="B39" s="127" t="n">
        <f aca="false">+'ENTRADA DE PARAMETROS'!E5</f>
        <v>25</v>
      </c>
      <c r="C39" s="133" t="n">
        <f aca="false">+B39/$B$45</f>
        <v>0.14792899408284</v>
      </c>
      <c r="D39" s="134" t="n">
        <f aca="false">+C39*$D$45</f>
        <v>3.51634494131342</v>
      </c>
    </row>
    <row r="40" customFormat="false" ht="13.5" hidden="false" customHeight="true" outlineLevel="0" collapsed="false">
      <c r="A40" s="132" t="s">
        <v>56</v>
      </c>
      <c r="B40" s="127" t="n">
        <f aca="false">+'ENTRADA DE PARAMETROS'!E6</f>
        <v>24</v>
      </c>
      <c r="C40" s="133" t="n">
        <f aca="false">+B40/$B$45</f>
        <v>0.142011834319527</v>
      </c>
      <c r="D40" s="134" t="n">
        <f aca="false">+C40*$D$45</f>
        <v>3.37569114366088</v>
      </c>
    </row>
    <row r="41" customFormat="false" ht="13.5" hidden="false" customHeight="true" outlineLevel="0" collapsed="false">
      <c r="A41" s="132" t="s">
        <v>58</v>
      </c>
      <c r="B41" s="127" t="n">
        <f aca="false">+'ENTRADA DE PARAMETROS'!E7</f>
        <v>26</v>
      </c>
      <c r="C41" s="133" t="n">
        <f aca="false">+B41/$B$45</f>
        <v>0.153846153846154</v>
      </c>
      <c r="D41" s="134" t="n">
        <f aca="false">+C41*$D$45</f>
        <v>3.65699873896595</v>
      </c>
    </row>
    <row r="42" customFormat="false" ht="13.5" hidden="false" customHeight="true" outlineLevel="0" collapsed="false">
      <c r="A42" s="132" t="s">
        <v>60</v>
      </c>
      <c r="B42" s="127" t="n">
        <f aca="false">+'ENTRADA DE PARAMETROS'!E8</f>
        <v>20</v>
      </c>
      <c r="C42" s="133" t="n">
        <f aca="false">+B42/$B$45</f>
        <v>0.118343195266272</v>
      </c>
      <c r="D42" s="134" t="n">
        <f aca="false">+C42*$D$45</f>
        <v>2.81307595305073</v>
      </c>
    </row>
    <row r="43" customFormat="false" ht="13.5" hidden="false" customHeight="true" outlineLevel="0" collapsed="false">
      <c r="A43" s="132" t="s">
        <v>62</v>
      </c>
      <c r="B43" s="127" t="n">
        <f aca="false">+'ENTRADA DE PARAMETROS'!E9</f>
        <v>25</v>
      </c>
      <c r="C43" s="133" t="n">
        <f aca="false">+B43/$B$45</f>
        <v>0.14792899408284</v>
      </c>
      <c r="D43" s="134" t="n">
        <f aca="false">+C43*$D$45</f>
        <v>3.51634494131342</v>
      </c>
    </row>
    <row r="44" customFormat="false" ht="13.5" hidden="false" customHeight="true" outlineLevel="0" collapsed="false">
      <c r="A44" s="132" t="s">
        <v>63</v>
      </c>
      <c r="B44" s="127" t="n">
        <f aca="false">+'ENTRADA DE PARAMETROS'!E10</f>
        <v>19</v>
      </c>
      <c r="C44" s="133" t="n">
        <f aca="false">+B44/$B$45</f>
        <v>0.112426035502959</v>
      </c>
      <c r="D44" s="134" t="n">
        <f aca="false">+C44*$D$45</f>
        <v>2.6724221553982</v>
      </c>
    </row>
    <row r="45" customFormat="false" ht="13.5" hidden="false" customHeight="true" outlineLevel="0" collapsed="false">
      <c r="B45" s="135" t="n">
        <f aca="false">SUM(B38:B44)</f>
        <v>169</v>
      </c>
      <c r="C45" s="136" t="n">
        <f aca="false">SUM(C38:C44)</f>
        <v>1</v>
      </c>
      <c r="D45" s="135" t="n">
        <f aca="false">+C6</f>
        <v>23.7704918032787</v>
      </c>
    </row>
    <row r="47" customFormat="false" ht="13.5" hidden="false" customHeight="true" outlineLevel="0" collapsed="false">
      <c r="A47" s="123" t="s">
        <v>66</v>
      </c>
      <c r="B47" s="123"/>
      <c r="C47" s="123"/>
    </row>
    <row r="48" customFormat="false" ht="13.5" hidden="false" customHeight="true" outlineLevel="0" collapsed="false">
      <c r="F48" s="137" t="s">
        <v>275</v>
      </c>
    </row>
    <row r="49" customFormat="false" ht="13.5" hidden="false" customHeight="true" outlineLevel="0" collapsed="false">
      <c r="A49" s="137" t="s">
        <v>69</v>
      </c>
      <c r="F49" s="137" t="s">
        <v>276</v>
      </c>
      <c r="G49" s="121"/>
      <c r="H49" s="122"/>
      <c r="I49" s="121"/>
    </row>
    <row r="50" customFormat="false" ht="13.5" hidden="false" customHeight="true" outlineLevel="0" collapsed="false">
      <c r="A50" s="132" t="s">
        <v>71</v>
      </c>
      <c r="B50" s="127" t="n">
        <f aca="false">'ENTRADA DE PARAMETROS'!E16</f>
        <v>10</v>
      </c>
      <c r="C50" s="133" t="n">
        <f aca="false">B50/$B$56</f>
        <v>0.178571428571429</v>
      </c>
      <c r="D50" s="134" t="n">
        <f aca="false">$D$56*C50</f>
        <v>3.07377049180328</v>
      </c>
      <c r="F50" s="132" t="s">
        <v>71</v>
      </c>
      <c r="G50" s="127" t="n">
        <v>10</v>
      </c>
      <c r="H50" s="133" t="n">
        <f aca="false">G50/$G$65</f>
        <v>0.105263157894737</v>
      </c>
      <c r="I50" s="134" t="n">
        <f aca="false">H50*$I$65</f>
        <v>1.82736842105263</v>
      </c>
    </row>
    <row r="51" customFormat="false" ht="13.5" hidden="false" customHeight="true" outlineLevel="0" collapsed="false">
      <c r="A51" s="132" t="s">
        <v>73</v>
      </c>
      <c r="B51" s="127" t="n">
        <f aca="false">'ENTRADA DE PARAMETROS'!E17</f>
        <v>10</v>
      </c>
      <c r="C51" s="133" t="n">
        <f aca="false">B51/$B$56</f>
        <v>0.178571428571429</v>
      </c>
      <c r="D51" s="134" t="n">
        <f aca="false">$D$56*C51</f>
        <v>3.07377049180328</v>
      </c>
      <c r="F51" s="132" t="s">
        <v>73</v>
      </c>
      <c r="G51" s="127" t="n">
        <v>10</v>
      </c>
      <c r="H51" s="133" t="n">
        <f aca="false">G51/$G$65</f>
        <v>0.105263157894737</v>
      </c>
      <c r="I51" s="134" t="n">
        <f aca="false">H51*$I$65</f>
        <v>1.82736842105263</v>
      </c>
    </row>
    <row r="52" customFormat="false" ht="13.5" hidden="false" customHeight="true" outlineLevel="0" collapsed="false">
      <c r="A52" s="132" t="s">
        <v>75</v>
      </c>
      <c r="B52" s="127" t="n">
        <f aca="false">'ENTRADA DE PARAMETROS'!E18</f>
        <v>9</v>
      </c>
      <c r="C52" s="133" t="n">
        <f aca="false">B52/$B$56</f>
        <v>0.160714285714286</v>
      </c>
      <c r="D52" s="134" t="n">
        <f aca="false">$D$56*C52</f>
        <v>2.76639344262295</v>
      </c>
      <c r="F52" s="132" t="s">
        <v>75</v>
      </c>
      <c r="G52" s="127" t="n">
        <v>9</v>
      </c>
      <c r="H52" s="133" t="n">
        <f aca="false">G52/$G$65</f>
        <v>0.0947368421052632</v>
      </c>
      <c r="I52" s="134" t="n">
        <f aca="false">H52*$I$65</f>
        <v>1.64463157894737</v>
      </c>
    </row>
    <row r="53" customFormat="false" ht="13.5" hidden="false" customHeight="true" outlineLevel="0" collapsed="false">
      <c r="A53" s="132" t="s">
        <v>77</v>
      </c>
      <c r="B53" s="127" t="n">
        <f aca="false">'ENTRADA DE PARAMETROS'!E19</f>
        <v>8</v>
      </c>
      <c r="C53" s="133" t="n">
        <f aca="false">B53/$B$56</f>
        <v>0.142857142857143</v>
      </c>
      <c r="D53" s="134" t="n">
        <f aca="false">$D$56*C53</f>
        <v>2.45901639344262</v>
      </c>
      <c r="F53" s="132" t="s">
        <v>77</v>
      </c>
      <c r="G53" s="127" t="n">
        <v>8</v>
      </c>
      <c r="H53" s="133" t="n">
        <f aca="false">G53/$G$65</f>
        <v>0.0842105263157895</v>
      </c>
      <c r="I53" s="134" t="n">
        <f aca="false">H53*$I$65</f>
        <v>1.46189473684211</v>
      </c>
    </row>
    <row r="54" customFormat="false" ht="13.5" hidden="false" customHeight="true" outlineLevel="0" collapsed="false">
      <c r="A54" s="132" t="s">
        <v>79</v>
      </c>
      <c r="B54" s="127" t="n">
        <f aca="false">'ENTRADA DE PARAMETROS'!E20</f>
        <v>9</v>
      </c>
      <c r="C54" s="133" t="n">
        <f aca="false">B54/$B$56</f>
        <v>0.160714285714286</v>
      </c>
      <c r="D54" s="134" t="n">
        <f aca="false">$D$56*C54</f>
        <v>2.76639344262295</v>
      </c>
      <c r="F54" s="132" t="s">
        <v>79</v>
      </c>
      <c r="G54" s="127" t="n">
        <v>9</v>
      </c>
      <c r="H54" s="133" t="n">
        <f aca="false">G54/$G$65</f>
        <v>0.0947368421052632</v>
      </c>
      <c r="I54" s="134" t="n">
        <f aca="false">H54*$I$65</f>
        <v>1.64463157894737</v>
      </c>
    </row>
    <row r="55" customFormat="false" ht="13.5" hidden="false" customHeight="true" outlineLevel="0" collapsed="false">
      <c r="A55" s="132" t="s">
        <v>80</v>
      </c>
      <c r="B55" s="127" t="n">
        <f aca="false">'ENTRADA DE PARAMETROS'!E21</f>
        <v>10</v>
      </c>
      <c r="C55" s="133" t="n">
        <f aca="false">B55/$B$56</f>
        <v>0.178571428571429</v>
      </c>
      <c r="D55" s="134" t="n">
        <f aca="false">$D$56*C55</f>
        <v>3.07377049180328</v>
      </c>
      <c r="F55" s="132" t="s">
        <v>80</v>
      </c>
      <c r="G55" s="127" t="n">
        <v>10</v>
      </c>
      <c r="H55" s="133" t="n">
        <f aca="false">G55/$G$65</f>
        <v>0.105263157894737</v>
      </c>
      <c r="I55" s="134" t="n">
        <f aca="false">H55*$I$65</f>
        <v>1.82736842105263</v>
      </c>
    </row>
    <row r="56" customFormat="false" ht="13.5" hidden="false" customHeight="true" outlineLevel="0" collapsed="false">
      <c r="B56" s="130" t="n">
        <f aca="false">SUM(B50:B55)</f>
        <v>56</v>
      </c>
      <c r="C56" s="136" t="n">
        <f aca="false">SUM(C50:C55)</f>
        <v>1</v>
      </c>
      <c r="D56" s="135" t="n">
        <f aca="false">C7</f>
        <v>17.2131147540984</v>
      </c>
      <c r="G56" s="130" t="n">
        <f aca="false">SUM(G50:G55)</f>
        <v>56</v>
      </c>
      <c r="H56" s="136" t="n">
        <f aca="false">SUM(H50:H55)</f>
        <v>0.589473684210526</v>
      </c>
      <c r="I56" s="135" t="n">
        <f aca="false">SUM(I50:I55)</f>
        <v>10.2332631578947</v>
      </c>
    </row>
    <row r="57" customFormat="false" ht="13.5" hidden="false" customHeight="true" outlineLevel="0" collapsed="false">
      <c r="G57" s="121"/>
      <c r="H57" s="122"/>
      <c r="I57" s="121"/>
    </row>
    <row r="58" customFormat="false" ht="13.5" hidden="false" customHeight="true" outlineLevel="0" collapsed="false">
      <c r="A58" s="138"/>
      <c r="F58" s="138"/>
      <c r="G58" s="121"/>
      <c r="H58" s="122"/>
      <c r="I58" s="121"/>
    </row>
    <row r="59" customFormat="false" ht="13.5" hidden="false" customHeight="true" outlineLevel="0" collapsed="false">
      <c r="A59" s="137" t="s">
        <v>82</v>
      </c>
      <c r="F59" s="137" t="s">
        <v>277</v>
      </c>
      <c r="G59" s="121"/>
      <c r="H59" s="122"/>
      <c r="I59" s="121"/>
    </row>
    <row r="60" customFormat="false" ht="13.5" hidden="false" customHeight="true" outlineLevel="0" collapsed="false">
      <c r="A60" s="132" t="s">
        <v>83</v>
      </c>
      <c r="B60" s="127" t="n">
        <f aca="false">'ENTRADA DE PARAMETROS'!E24</f>
        <v>10</v>
      </c>
      <c r="C60" s="133" t="n">
        <f aca="false">B60/$B$64</f>
        <v>0.256410256410256</v>
      </c>
      <c r="D60" s="134" t="n">
        <f aca="false">C60*$D$64</f>
        <v>4.41361916771753</v>
      </c>
      <c r="F60" s="132" t="s">
        <v>83</v>
      </c>
      <c r="G60" s="127" t="n">
        <v>10</v>
      </c>
      <c r="H60" s="133" t="n">
        <f aca="false">G60/$G$65</f>
        <v>0.105263157894737</v>
      </c>
      <c r="I60" s="134" t="n">
        <f aca="false">H60*$I$65</f>
        <v>1.82736842105263</v>
      </c>
    </row>
    <row r="61" customFormat="false" ht="13.5" hidden="false" customHeight="true" outlineLevel="0" collapsed="false">
      <c r="A61" s="132" t="s">
        <v>85</v>
      </c>
      <c r="B61" s="127" t="n">
        <f aca="false">'ENTRADA DE PARAMETROS'!E25</f>
        <v>10</v>
      </c>
      <c r="C61" s="133" t="n">
        <f aca="false">B61/$B$64</f>
        <v>0.256410256410256</v>
      </c>
      <c r="D61" s="134" t="n">
        <f aca="false">C61*$D$64</f>
        <v>4.41361916771753</v>
      </c>
      <c r="F61" s="132" t="s">
        <v>85</v>
      </c>
      <c r="G61" s="127" t="n">
        <v>10</v>
      </c>
      <c r="H61" s="133" t="n">
        <f aca="false">G61/$G$65</f>
        <v>0.105263157894737</v>
      </c>
      <c r="I61" s="134" t="n">
        <f aca="false">H61*$I$65</f>
        <v>1.82736842105263</v>
      </c>
    </row>
    <row r="62" customFormat="false" ht="13.5" hidden="false" customHeight="true" outlineLevel="0" collapsed="false">
      <c r="A62" s="132" t="s">
        <v>87</v>
      </c>
      <c r="B62" s="127" t="n">
        <f aca="false">'ENTRADA DE PARAMETROS'!E26</f>
        <v>9</v>
      </c>
      <c r="C62" s="133" t="n">
        <f aca="false">B62/$B$64</f>
        <v>0.230769230769231</v>
      </c>
      <c r="D62" s="134" t="n">
        <f aca="false">C62*$D$64</f>
        <v>3.97225725094578</v>
      </c>
      <c r="F62" s="132" t="s">
        <v>87</v>
      </c>
      <c r="G62" s="127" t="n">
        <v>9</v>
      </c>
      <c r="H62" s="133" t="n">
        <f aca="false">G62/$G$65</f>
        <v>0.0947368421052632</v>
      </c>
      <c r="I62" s="134" t="n">
        <f aca="false">H62*$I$65</f>
        <v>1.64463157894737</v>
      </c>
    </row>
    <row r="63" customFormat="false" ht="13.5" hidden="false" customHeight="true" outlineLevel="0" collapsed="false">
      <c r="A63" s="132" t="s">
        <v>89</v>
      </c>
      <c r="B63" s="127" t="n">
        <f aca="false">'ENTRADA DE PARAMETROS'!E27</f>
        <v>10</v>
      </c>
      <c r="C63" s="133" t="n">
        <f aca="false">B63/$B$64</f>
        <v>0.256410256410256</v>
      </c>
      <c r="D63" s="134" t="n">
        <f aca="false">C63*$D$64</f>
        <v>4.41361916771753</v>
      </c>
      <c r="F63" s="132" t="s">
        <v>89</v>
      </c>
      <c r="G63" s="127" t="n">
        <v>10</v>
      </c>
      <c r="H63" s="133" t="n">
        <f aca="false">G63/$G$65</f>
        <v>0.105263157894737</v>
      </c>
      <c r="I63" s="134" t="n">
        <f aca="false">H63*$I$65</f>
        <v>1.82736842105263</v>
      </c>
    </row>
    <row r="64" customFormat="false" ht="13.5" hidden="false" customHeight="true" outlineLevel="0" collapsed="false">
      <c r="B64" s="135" t="n">
        <f aca="false">SUM(B60:B63)</f>
        <v>39</v>
      </c>
      <c r="C64" s="136" t="n">
        <f aca="false">SUM(C60:C63)</f>
        <v>1</v>
      </c>
      <c r="D64" s="135" t="n">
        <f aca="false">+C7</f>
        <v>17.2131147540984</v>
      </c>
      <c r="G64" s="135" t="n">
        <f aca="false">SUM(G60:G63)</f>
        <v>39</v>
      </c>
      <c r="H64" s="136" t="n">
        <f aca="false">SUM(H60:H63)</f>
        <v>0.410526315789474</v>
      </c>
      <c r="I64" s="135" t="n">
        <f aca="false">SUM(I60:I63)</f>
        <v>7.12673684210526</v>
      </c>
    </row>
    <row r="65" customFormat="false" ht="13.5" hidden="false" customHeight="true" outlineLevel="0" collapsed="false">
      <c r="F65" s="137" t="s">
        <v>278</v>
      </c>
      <c r="G65" s="130" t="n">
        <f aca="false">G56+G64</f>
        <v>95</v>
      </c>
      <c r="H65" s="136" t="n">
        <f aca="false">H56+H64</f>
        <v>1</v>
      </c>
      <c r="I65" s="135" t="n">
        <v>17.36</v>
      </c>
    </row>
    <row r="66" customFormat="false" ht="15" hidden="false" customHeight="true" outlineLevel="0" collapsed="false">
      <c r="A66" s="123" t="s">
        <v>93</v>
      </c>
      <c r="B66" s="123"/>
      <c r="C66" s="123"/>
    </row>
    <row r="68" customFormat="false" ht="13.5" hidden="false" customHeight="true" outlineLevel="0" collapsed="false">
      <c r="A68" s="132" t="s">
        <v>96</v>
      </c>
      <c r="B68" s="127" t="n">
        <f aca="false">+'ENTRADA DE PARAMETROS'!E32</f>
        <v>27</v>
      </c>
      <c r="C68" s="133" t="n">
        <f aca="false">+B68/$B$71</f>
        <v>0.350649350649351</v>
      </c>
      <c r="D68" s="134" t="n">
        <f aca="false">+C68*$D$71</f>
        <v>6.3231850117096</v>
      </c>
    </row>
    <row r="69" customFormat="false" ht="13.5" hidden="false" customHeight="true" outlineLevel="0" collapsed="false">
      <c r="A69" s="132" t="s">
        <v>97</v>
      </c>
      <c r="B69" s="127" t="n">
        <f aca="false">+'ENTRADA DE PARAMETROS'!E33</f>
        <v>24</v>
      </c>
      <c r="C69" s="133" t="n">
        <f aca="false">+B69/$B$71</f>
        <v>0.311688311688312</v>
      </c>
      <c r="D69" s="134" t="n">
        <f aca="false">+C69*$D$71</f>
        <v>5.62060889929742</v>
      </c>
    </row>
    <row r="70" customFormat="false" ht="13.5" hidden="false" customHeight="true" outlineLevel="0" collapsed="false">
      <c r="A70" s="132" t="s">
        <v>98</v>
      </c>
      <c r="B70" s="127" t="n">
        <f aca="false">+'ENTRADA DE PARAMETROS'!E34</f>
        <v>26</v>
      </c>
      <c r="C70" s="133" t="n">
        <f aca="false">+B70/$B$71</f>
        <v>0.337662337662338</v>
      </c>
      <c r="D70" s="134" t="n">
        <f aca="false">+C70*$D$71</f>
        <v>6.08899297423888</v>
      </c>
    </row>
    <row r="71" customFormat="false" ht="13.5" hidden="false" customHeight="true" outlineLevel="0" collapsed="false">
      <c r="B71" s="135" t="n">
        <f aca="false">SUM(B68:B70)</f>
        <v>77</v>
      </c>
      <c r="C71" s="136" t="n">
        <f aca="false">SUM(C68:C70)</f>
        <v>1</v>
      </c>
      <c r="D71" s="135" t="n">
        <f aca="false">+C8</f>
        <v>18.0327868852459</v>
      </c>
    </row>
  </sheetData>
  <mergeCells count="6">
    <mergeCell ref="A2:C2"/>
    <mergeCell ref="A12:C12"/>
    <mergeCell ref="A24:C24"/>
    <mergeCell ref="A36:C36"/>
    <mergeCell ref="A47:C47"/>
    <mergeCell ref="A66:C6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57"/>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2" activeCellId="0" sqref="B2"/>
    </sheetView>
  </sheetViews>
  <sheetFormatPr defaultColWidth="11.2890625" defaultRowHeight="13.5" zeroHeight="false" outlineLevelRow="0" outlineLevelCol="0"/>
  <cols>
    <col collapsed="false" customWidth="true" hidden="false" outlineLevel="0" max="1" min="1" style="120" width="22.29"/>
    <col collapsed="false" customWidth="true" hidden="false" outlineLevel="0" max="2" min="2" style="121" width="6.29"/>
    <col collapsed="false" customWidth="true" hidden="false" outlineLevel="0" max="3" min="3" style="120" width="5.86"/>
    <col collapsed="false" customWidth="true" hidden="false" outlineLevel="0" max="4" min="4" style="120" width="1.71"/>
    <col collapsed="false" customWidth="true" hidden="false" outlineLevel="0" max="5" min="5" style="121" width="41.71"/>
    <col collapsed="false" customWidth="true" hidden="false" outlineLevel="0" max="6" min="6" style="120" width="3.86"/>
    <col collapsed="false" customWidth="true" hidden="false" outlineLevel="0" max="7" min="7" style="120" width="6.29"/>
    <col collapsed="false" customWidth="true" hidden="false" outlineLevel="0" max="8" min="8" style="121" width="1.85"/>
    <col collapsed="false" customWidth="true" hidden="false" outlineLevel="0" max="9" min="9" style="120" width="35.14"/>
    <col collapsed="false" customWidth="true" hidden="false" outlineLevel="0" max="10" min="10" style="120" width="4.14"/>
    <col collapsed="false" customWidth="true" hidden="false" outlineLevel="0" max="11" min="11" style="120" width="6.14"/>
    <col collapsed="false" customWidth="true" hidden="false" outlineLevel="0" max="12" min="12" style="121" width="1.85"/>
    <col collapsed="false" customWidth="true" hidden="false" outlineLevel="0" max="13" min="13" style="120" width="22.29"/>
    <col collapsed="false" customWidth="true" hidden="false" outlineLevel="0" max="14" min="14" style="120" width="4"/>
    <col collapsed="false" customWidth="true" hidden="false" outlineLevel="0" max="15" min="15" style="120" width="6.14"/>
    <col collapsed="false" customWidth="true" hidden="false" outlineLevel="0" max="16" min="16" style="120" width="2"/>
    <col collapsed="false" customWidth="true" hidden="false" outlineLevel="0" max="17" min="17" style="120" width="35.29"/>
    <col collapsed="false" customWidth="true" hidden="false" outlineLevel="0" max="18" min="18" style="120" width="8.86"/>
    <col collapsed="false" customWidth="true" hidden="false" outlineLevel="0" max="19" min="19" style="120" width="9.14"/>
    <col collapsed="false" customWidth="false" hidden="false" outlineLevel="0" max="20" min="20" style="120" width="11.29"/>
    <col collapsed="false" customWidth="true" hidden="true" outlineLevel="0" max="22" min="21" style="120" width="10.85"/>
    <col collapsed="false" customWidth="false" hidden="false" outlineLevel="0" max="16384" min="23" style="120" width="11.29"/>
  </cols>
  <sheetData>
    <row r="1" customFormat="false" ht="23.25" hidden="false" customHeight="true" outlineLevel="0" collapsed="false">
      <c r="A1" s="139" t="s">
        <v>279</v>
      </c>
      <c r="B1" s="139"/>
      <c r="C1" s="139"/>
      <c r="D1" s="139"/>
      <c r="E1" s="139"/>
      <c r="F1" s="139"/>
      <c r="G1" s="139"/>
      <c r="H1" s="139"/>
      <c r="I1" s="139"/>
      <c r="J1" s="139"/>
      <c r="K1" s="139"/>
      <c r="L1" s="139"/>
      <c r="M1" s="139"/>
      <c r="N1" s="139"/>
      <c r="O1" s="139"/>
      <c r="P1" s="139"/>
      <c r="Q1" s="139"/>
      <c r="R1" s="139"/>
      <c r="S1" s="139"/>
    </row>
    <row r="2" customFormat="false" ht="14.25" hidden="false" customHeight="true" outlineLevel="0" collapsed="false">
      <c r="A2" s="132" t="s">
        <v>280</v>
      </c>
      <c r="B2" s="140" t="e">
        <f aca="false">'Análisis Evaluación Crediticio'!B6:B7</f>
        <v>#VALUE!</v>
      </c>
      <c r="C2" s="140"/>
      <c r="E2" s="141" t="str">
        <f aca="false">'Análisis Evaluación Crediticio'!C6</f>
        <v>NAVAS PEÑAHERRERA GABRIEL HUMBERTO</v>
      </c>
      <c r="F2" s="142" t="s">
        <v>281</v>
      </c>
      <c r="G2" s="142"/>
      <c r="H2" s="120"/>
      <c r="I2" s="143" t="s">
        <v>282</v>
      </c>
      <c r="J2" s="143"/>
      <c r="K2" s="144" t="s">
        <v>283</v>
      </c>
      <c r="Q2" s="145" t="s">
        <v>284</v>
      </c>
      <c r="R2" s="145"/>
      <c r="S2" s="146" t="s">
        <v>285</v>
      </c>
      <c r="U2" s="147" t="s">
        <v>286</v>
      </c>
      <c r="V2" s="147"/>
    </row>
    <row r="3" s="120" customFormat="true" ht="13.5" hidden="false" customHeight="true" outlineLevel="0" collapsed="false">
      <c r="C3" s="121"/>
      <c r="E3" s="148"/>
      <c r="G3" s="121"/>
      <c r="K3" s="121"/>
      <c r="L3" s="121"/>
      <c r="S3" s="121"/>
      <c r="U3" s="132" t="s">
        <v>287</v>
      </c>
      <c r="V3" s="132" t="s">
        <v>288</v>
      </c>
    </row>
    <row r="4" customFormat="false" ht="13.5" hidden="false" customHeight="true" outlineLevel="0" collapsed="false">
      <c r="A4" s="149" t="s">
        <v>99</v>
      </c>
      <c r="B4" s="149" t="s">
        <v>289</v>
      </c>
      <c r="C4" s="150" t="s">
        <v>290</v>
      </c>
      <c r="E4" s="149" t="s">
        <v>100</v>
      </c>
      <c r="F4" s="149" t="s">
        <v>289</v>
      </c>
      <c r="G4" s="150" t="s">
        <v>291</v>
      </c>
      <c r="H4" s="120"/>
      <c r="I4" s="149" t="s">
        <v>292</v>
      </c>
      <c r="J4" s="149" t="s">
        <v>289</v>
      </c>
      <c r="K4" s="150" t="s">
        <v>290</v>
      </c>
      <c r="M4" s="151" t="s">
        <v>102</v>
      </c>
      <c r="N4" s="151" t="s">
        <v>289</v>
      </c>
      <c r="O4" s="152" t="s">
        <v>291</v>
      </c>
      <c r="Q4" s="149" t="s">
        <v>103</v>
      </c>
      <c r="R4" s="149" t="s">
        <v>289</v>
      </c>
      <c r="S4" s="150" t="s">
        <v>291</v>
      </c>
      <c r="U4" s="132" t="s">
        <v>285</v>
      </c>
      <c r="V4" s="132" t="s">
        <v>293</v>
      </c>
    </row>
    <row r="5" s="120" customFormat="true" ht="13.5" hidden="false" customHeight="true" outlineLevel="0" collapsed="false">
      <c r="C5" s="121"/>
      <c r="G5" s="121"/>
      <c r="K5" s="121"/>
      <c r="L5" s="121"/>
      <c r="O5" s="121"/>
      <c r="S5" s="121"/>
      <c r="U5" s="132" t="s">
        <v>294</v>
      </c>
      <c r="V5" s="132" t="s">
        <v>295</v>
      </c>
    </row>
    <row r="6" customFormat="false" ht="13.5" hidden="false" customHeight="true" outlineLevel="0" collapsed="false">
      <c r="A6" s="153" t="s">
        <v>104</v>
      </c>
      <c r="B6" s="154" t="n">
        <v>1</v>
      </c>
      <c r="C6" s="155" t="n">
        <f aca="false">FORMULAS!E5</f>
        <v>4.15267627888604</v>
      </c>
      <c r="E6" s="153" t="s">
        <v>105</v>
      </c>
      <c r="F6" s="154" t="n">
        <v>1</v>
      </c>
      <c r="G6" s="155" t="n">
        <f aca="false">FORMULAS!J5</f>
        <v>2.52583749109052</v>
      </c>
      <c r="H6" s="120"/>
      <c r="I6" s="153" t="s">
        <v>106</v>
      </c>
      <c r="J6" s="154" t="n">
        <v>1</v>
      </c>
      <c r="K6" s="155" t="n">
        <f aca="false">FORMULAS!O5</f>
        <v>4.2196139295761</v>
      </c>
      <c r="M6" s="153" t="s">
        <v>296</v>
      </c>
      <c r="N6" s="156"/>
      <c r="O6" s="157"/>
      <c r="Q6" s="153" t="s">
        <v>96</v>
      </c>
      <c r="R6" s="154" t="n">
        <v>2</v>
      </c>
      <c r="S6" s="155" t="n">
        <f aca="false">FORMULAS!Y5</f>
        <v>4.21545667447307</v>
      </c>
    </row>
    <row r="7" s="120" customFormat="true" ht="13.5" hidden="false" customHeight="true" outlineLevel="0" collapsed="false">
      <c r="A7" s="158" t="s">
        <v>297</v>
      </c>
      <c r="C7" s="159"/>
      <c r="E7" s="158" t="s">
        <v>298</v>
      </c>
      <c r="G7" s="159"/>
      <c r="I7" s="158" t="s">
        <v>299</v>
      </c>
      <c r="K7" s="159"/>
      <c r="L7" s="121"/>
      <c r="M7" s="160" t="s">
        <v>111</v>
      </c>
      <c r="N7" s="154" t="n">
        <v>1</v>
      </c>
      <c r="O7" s="159" t="n">
        <f aca="false">FORMULAS!T6</f>
        <v>0</v>
      </c>
      <c r="Q7" s="158" t="s">
        <v>300</v>
      </c>
      <c r="S7" s="159"/>
      <c r="U7" s="147" t="s">
        <v>286</v>
      </c>
      <c r="V7" s="147"/>
    </row>
    <row r="8" s="120" customFormat="true" ht="13.5" hidden="false" customHeight="true" outlineLevel="0" collapsed="false">
      <c r="A8" s="158" t="s">
        <v>301</v>
      </c>
      <c r="C8" s="159"/>
      <c r="E8" s="158" t="s">
        <v>302</v>
      </c>
      <c r="G8" s="159"/>
      <c r="I8" s="161" t="s">
        <v>303</v>
      </c>
      <c r="K8" s="159"/>
      <c r="L8" s="121"/>
      <c r="M8" s="158" t="s">
        <v>304</v>
      </c>
      <c r="O8" s="159"/>
      <c r="Q8" s="158" t="s">
        <v>305</v>
      </c>
      <c r="S8" s="159"/>
      <c r="U8" s="132" t="s">
        <v>283</v>
      </c>
      <c r="V8" s="132" t="s">
        <v>306</v>
      </c>
    </row>
    <row r="9" s="120" customFormat="true" ht="13.5" hidden="false" customHeight="true" outlineLevel="0" collapsed="false">
      <c r="A9" s="158" t="s">
        <v>307</v>
      </c>
      <c r="C9" s="159"/>
      <c r="E9" s="158" t="s">
        <v>308</v>
      </c>
      <c r="G9" s="159"/>
      <c r="I9" s="162" t="s">
        <v>309</v>
      </c>
      <c r="K9" s="159"/>
      <c r="L9" s="121"/>
      <c r="M9" s="158" t="s">
        <v>310</v>
      </c>
      <c r="O9" s="159"/>
      <c r="Q9" s="158" t="s">
        <v>311</v>
      </c>
      <c r="S9" s="159"/>
      <c r="U9" s="132" t="s">
        <v>287</v>
      </c>
      <c r="V9" s="132" t="s">
        <v>312</v>
      </c>
    </row>
    <row r="10" s="120" customFormat="true" ht="13.5" hidden="false" customHeight="true" outlineLevel="0" collapsed="false">
      <c r="A10" s="158" t="s">
        <v>313</v>
      </c>
      <c r="C10" s="159"/>
      <c r="E10" s="158" t="s">
        <v>314</v>
      </c>
      <c r="F10" s="163" t="str">
        <f aca="false">IF(F6=4,"ALERTA","")</f>
        <v/>
      </c>
      <c r="G10" s="159"/>
      <c r="I10" s="158" t="s">
        <v>315</v>
      </c>
      <c r="K10" s="159"/>
      <c r="L10" s="121"/>
      <c r="M10" s="158" t="s">
        <v>316</v>
      </c>
      <c r="N10" s="163" t="str">
        <f aca="false">IF(N7=3,"MEJORAR GARANTIA","")</f>
        <v/>
      </c>
      <c r="O10" s="159"/>
      <c r="Q10" s="162"/>
      <c r="S10" s="159"/>
    </row>
    <row r="11" customFormat="false" ht="13.5" hidden="false" customHeight="true" outlineLevel="0" collapsed="false">
      <c r="A11" s="160" t="s">
        <v>128</v>
      </c>
      <c r="B11" s="154" t="n">
        <v>1</v>
      </c>
      <c r="C11" s="159" t="n">
        <f aca="false">FORMULAS!E11</f>
        <v>3.00711040884851</v>
      </c>
      <c r="E11" s="160" t="s">
        <v>129</v>
      </c>
      <c r="F11" s="154" t="n">
        <v>2</v>
      </c>
      <c r="G11" s="159" t="n">
        <f aca="false">FORMULAS!J11</f>
        <v>1.60370634354954</v>
      </c>
      <c r="H11" s="120"/>
      <c r="I11" s="161" t="s">
        <v>317</v>
      </c>
      <c r="J11" s="163" t="str">
        <f aca="false">IF(J6=3,"NEGADO","")</f>
        <v/>
      </c>
      <c r="K11" s="164"/>
      <c r="M11" s="160" t="s">
        <v>318</v>
      </c>
      <c r="N11" s="154" t="n">
        <v>1</v>
      </c>
      <c r="O11" s="159" t="n">
        <f aca="false">FORMULAS!T11</f>
        <v>0</v>
      </c>
      <c r="Q11" s="160" t="s">
        <v>97</v>
      </c>
      <c r="R11" s="154" t="n">
        <v>2</v>
      </c>
      <c r="S11" s="159" t="n">
        <f aca="false">FORMULAS!Y10</f>
        <v>4.21545667447307</v>
      </c>
    </row>
    <row r="12" s="120" customFormat="true" ht="13.5" hidden="false" customHeight="true" outlineLevel="0" collapsed="false">
      <c r="A12" s="158" t="s">
        <v>319</v>
      </c>
      <c r="C12" s="159"/>
      <c r="E12" s="165" t="s">
        <v>320</v>
      </c>
      <c r="G12" s="159"/>
      <c r="I12" s="162" t="s">
        <v>321</v>
      </c>
      <c r="K12" s="159"/>
      <c r="L12" s="121"/>
      <c r="M12" s="158" t="s">
        <v>322</v>
      </c>
      <c r="O12" s="159"/>
      <c r="Q12" s="158" t="s">
        <v>323</v>
      </c>
      <c r="S12" s="159"/>
    </row>
    <row r="13" s="120" customFormat="true" ht="13.5" hidden="false" customHeight="true" outlineLevel="0" collapsed="false">
      <c r="A13" s="158" t="s">
        <v>324</v>
      </c>
      <c r="C13" s="159"/>
      <c r="E13" s="166" t="s">
        <v>325</v>
      </c>
      <c r="G13" s="159"/>
      <c r="I13" s="158" t="s">
        <v>326</v>
      </c>
      <c r="K13" s="167"/>
      <c r="L13" s="121"/>
      <c r="M13" s="158" t="s">
        <v>327</v>
      </c>
      <c r="O13" s="167"/>
      <c r="Q13" s="158" t="s">
        <v>328</v>
      </c>
      <c r="S13" s="159"/>
    </row>
    <row r="14" s="120" customFormat="true" ht="13.5" hidden="false" customHeight="true" outlineLevel="0" collapsed="false">
      <c r="A14" s="158" t="s">
        <v>329</v>
      </c>
      <c r="C14" s="159"/>
      <c r="E14" s="166" t="s">
        <v>330</v>
      </c>
      <c r="G14" s="159"/>
      <c r="I14" s="162" t="s">
        <v>331</v>
      </c>
      <c r="K14" s="167"/>
      <c r="L14" s="121"/>
      <c r="M14" s="158" t="s">
        <v>332</v>
      </c>
      <c r="O14" s="167"/>
      <c r="Q14" s="158" t="s">
        <v>333</v>
      </c>
      <c r="S14" s="159"/>
    </row>
    <row r="15" customFormat="false" ht="13.5" hidden="false" customHeight="true" outlineLevel="0" collapsed="false">
      <c r="A15" s="158" t="s">
        <v>334</v>
      </c>
      <c r="B15" s="163" t="str">
        <f aca="false">IF(B11=4,"ALERTA","")</f>
        <v/>
      </c>
      <c r="C15" s="159"/>
      <c r="E15" s="165" t="s">
        <v>335</v>
      </c>
      <c r="G15" s="159"/>
      <c r="H15" s="120"/>
      <c r="I15" s="162"/>
      <c r="K15" s="167"/>
      <c r="M15" s="160" t="s">
        <v>152</v>
      </c>
      <c r="N15" s="154" t="n">
        <v>1</v>
      </c>
      <c r="O15" s="159" t="n">
        <f aca="false">FORMULAS!T16</f>
        <v>0</v>
      </c>
      <c r="Q15" s="158" t="s">
        <v>336</v>
      </c>
      <c r="S15" s="159"/>
    </row>
    <row r="16" s="120" customFormat="true" ht="13.5" hidden="false" customHeight="true" outlineLevel="0" collapsed="false">
      <c r="A16" s="160" t="s">
        <v>153</v>
      </c>
      <c r="C16" s="159" t="n">
        <f aca="false">FORMULAS!E17</f>
        <v>2.43432747382975</v>
      </c>
      <c r="E16" s="166" t="s">
        <v>337</v>
      </c>
      <c r="G16" s="159"/>
      <c r="I16" s="160" t="s">
        <v>134</v>
      </c>
      <c r="J16" s="154" t="n">
        <v>2</v>
      </c>
      <c r="K16" s="159" t="n">
        <f aca="false">FORMULAS!O12</f>
        <v>2.10980696478805</v>
      </c>
      <c r="L16" s="121"/>
      <c r="M16" s="158" t="s">
        <v>338</v>
      </c>
      <c r="O16" s="167"/>
      <c r="Q16" s="162"/>
      <c r="S16" s="159"/>
    </row>
    <row r="17" customFormat="false" ht="13.5" hidden="false" customHeight="true" outlineLevel="0" collapsed="false">
      <c r="A17" s="160" t="s">
        <v>156</v>
      </c>
      <c r="B17" s="154" t="n">
        <v>1</v>
      </c>
      <c r="C17" s="159"/>
      <c r="E17" s="168" t="s">
        <v>339</v>
      </c>
      <c r="G17" s="159"/>
      <c r="H17" s="120"/>
      <c r="I17" s="158" t="s">
        <v>340</v>
      </c>
      <c r="K17" s="159"/>
      <c r="M17" s="158" t="s">
        <v>341</v>
      </c>
      <c r="O17" s="167"/>
      <c r="Q17" s="162"/>
      <c r="S17" s="159"/>
    </row>
    <row r="18" s="120" customFormat="true" ht="13.5" hidden="false" customHeight="true" outlineLevel="0" collapsed="false">
      <c r="A18" s="158" t="s">
        <v>342</v>
      </c>
      <c r="C18" s="159"/>
      <c r="E18" s="165" t="s">
        <v>343</v>
      </c>
      <c r="F18" s="169" t="str">
        <f aca="false">IF(F11=4,"ALERTA","")</f>
        <v/>
      </c>
      <c r="G18" s="159"/>
      <c r="I18" s="158" t="s">
        <v>344</v>
      </c>
      <c r="K18" s="159"/>
      <c r="L18" s="121"/>
      <c r="M18" s="158" t="s">
        <v>345</v>
      </c>
      <c r="O18" s="167"/>
      <c r="Q18" s="160" t="s">
        <v>98</v>
      </c>
      <c r="R18" s="154" t="n">
        <v>2</v>
      </c>
      <c r="S18" s="159" t="n">
        <f aca="false">FORMULAS!Y17</f>
        <v>3.04449648711944</v>
      </c>
    </row>
    <row r="19" s="120" customFormat="true" ht="13.5" hidden="false" customHeight="true" outlineLevel="0" collapsed="false">
      <c r="A19" s="158" t="s">
        <v>346</v>
      </c>
      <c r="C19" s="159"/>
      <c r="E19" s="166" t="s">
        <v>347</v>
      </c>
      <c r="G19" s="159"/>
      <c r="I19" s="158" t="s">
        <v>348</v>
      </c>
      <c r="K19" s="159"/>
      <c r="L19" s="121"/>
      <c r="M19" s="160" t="s">
        <v>349</v>
      </c>
      <c r="N19" s="154" t="n">
        <v>1</v>
      </c>
      <c r="O19" s="159" t="n">
        <f aca="false">FORMULAS!T21</f>
        <v>0</v>
      </c>
      <c r="Q19" s="158" t="s">
        <v>350</v>
      </c>
      <c r="S19" s="159"/>
    </row>
    <row r="20" customFormat="false" ht="13.5" hidden="false" customHeight="true" outlineLevel="0" collapsed="false">
      <c r="A20" s="158" t="s">
        <v>351</v>
      </c>
      <c r="B20" s="163" t="str">
        <f aca="false">IF(B17=3,"ALERTA","")</f>
        <v/>
      </c>
      <c r="C20" s="159"/>
      <c r="E20" s="168" t="s">
        <v>352</v>
      </c>
      <c r="G20" s="167"/>
      <c r="H20" s="120"/>
      <c r="I20" s="158" t="s">
        <v>353</v>
      </c>
      <c r="K20" s="167"/>
      <c r="M20" s="158" t="s">
        <v>338</v>
      </c>
      <c r="O20" s="167"/>
      <c r="Q20" s="158" t="s">
        <v>354</v>
      </c>
      <c r="S20" s="159"/>
    </row>
    <row r="21" customFormat="false" ht="13.5" hidden="false" customHeight="true" outlineLevel="0" collapsed="false">
      <c r="A21" s="160" t="s">
        <v>174</v>
      </c>
      <c r="B21" s="154" t="n">
        <v>1</v>
      </c>
      <c r="C21" s="159"/>
      <c r="E21" s="165" t="s">
        <v>355</v>
      </c>
      <c r="G21" s="159"/>
      <c r="H21" s="120"/>
      <c r="I21" s="160" t="s">
        <v>158</v>
      </c>
      <c r="J21" s="154" t="n">
        <v>2</v>
      </c>
      <c r="K21" s="159" t="n">
        <f aca="false">FORMULAS!O18</f>
        <v>1.68784557183044</v>
      </c>
      <c r="M21" s="158" t="s">
        <v>341</v>
      </c>
      <c r="O21" s="167"/>
      <c r="Q21" s="158" t="s">
        <v>356</v>
      </c>
      <c r="S21" s="159"/>
    </row>
    <row r="22" s="120" customFormat="true" ht="13.5" hidden="false" customHeight="true" outlineLevel="0" collapsed="false">
      <c r="A22" s="158" t="s">
        <v>342</v>
      </c>
      <c r="C22" s="159"/>
      <c r="E22" s="166" t="s">
        <v>357</v>
      </c>
      <c r="G22" s="167"/>
      <c r="I22" s="158" t="s">
        <v>358</v>
      </c>
      <c r="K22" s="159"/>
      <c r="L22" s="121"/>
      <c r="M22" s="158" t="s">
        <v>359</v>
      </c>
      <c r="O22" s="167"/>
      <c r="Q22" s="162"/>
      <c r="S22" s="159"/>
    </row>
    <row r="23" s="120" customFormat="true" ht="13.5" hidden="false" customHeight="true" outlineLevel="0" collapsed="false">
      <c r="A23" s="158" t="s">
        <v>346</v>
      </c>
      <c r="C23" s="159"/>
      <c r="E23" s="168" t="s">
        <v>360</v>
      </c>
      <c r="G23" s="167"/>
      <c r="I23" s="158" t="s">
        <v>361</v>
      </c>
      <c r="K23" s="159"/>
      <c r="L23" s="121"/>
      <c r="M23" s="160" t="s">
        <v>362</v>
      </c>
      <c r="N23" s="154" t="n">
        <v>1</v>
      </c>
      <c r="O23" s="159" t="n">
        <f aca="false">FORMULAS!T26</f>
        <v>0</v>
      </c>
      <c r="Q23" s="162"/>
      <c r="S23" s="159"/>
    </row>
    <row r="24" customFormat="false" ht="13.5" hidden="false" customHeight="true" outlineLevel="0" collapsed="false">
      <c r="A24" s="158" t="s">
        <v>351</v>
      </c>
      <c r="B24" s="163" t="str">
        <f aca="false">IF(B21=3,"ALERTA","")</f>
        <v/>
      </c>
      <c r="C24" s="159"/>
      <c r="E24" s="160" t="s">
        <v>170</v>
      </c>
      <c r="F24" s="154" t="n">
        <v>1</v>
      </c>
      <c r="G24" s="159" t="n">
        <f aca="false">FORMULAS!J21</f>
        <v>2.33873841767641</v>
      </c>
      <c r="H24" s="120"/>
      <c r="I24" s="158" t="s">
        <v>363</v>
      </c>
      <c r="J24" s="163"/>
      <c r="K24" s="159"/>
      <c r="M24" s="158" t="s">
        <v>364</v>
      </c>
      <c r="O24" s="159"/>
      <c r="Q24" s="170" t="s">
        <v>365</v>
      </c>
      <c r="R24" s="171"/>
      <c r="S24" s="172" t="n">
        <f aca="false">SUM(S6:S21)</f>
        <v>11.4754098360656</v>
      </c>
    </row>
    <row r="25" s="120" customFormat="true" ht="13.5" hidden="false" customHeight="true" outlineLevel="0" collapsed="false">
      <c r="A25" s="160" t="s">
        <v>366</v>
      </c>
      <c r="C25" s="159" t="n">
        <f aca="false">FORMULAS!E28</f>
        <v>4.15267627888604</v>
      </c>
      <c r="E25" s="158" t="s">
        <v>367</v>
      </c>
      <c r="G25" s="159"/>
      <c r="I25" s="160" t="s">
        <v>176</v>
      </c>
      <c r="J25" s="154" t="n">
        <v>1</v>
      </c>
      <c r="K25" s="159" t="n">
        <f aca="false">FORMULAS!O23</f>
        <v>3.65699873896595</v>
      </c>
      <c r="L25" s="121"/>
      <c r="M25" s="158" t="s">
        <v>368</v>
      </c>
      <c r="O25" s="159"/>
      <c r="S25" s="121"/>
    </row>
    <row r="26" customFormat="false" ht="13.5" hidden="false" customHeight="true" outlineLevel="0" collapsed="false">
      <c r="A26" s="160"/>
      <c r="B26" s="154" t="n">
        <v>1</v>
      </c>
      <c r="C26" s="159"/>
      <c r="E26" s="158" t="s">
        <v>369</v>
      </c>
      <c r="G26" s="159"/>
      <c r="H26" s="120"/>
      <c r="I26" s="162" t="s">
        <v>178</v>
      </c>
      <c r="K26" s="159"/>
      <c r="M26" s="158" t="s">
        <v>370</v>
      </c>
      <c r="O26" s="159"/>
      <c r="S26" s="121"/>
    </row>
    <row r="27" s="120" customFormat="true" ht="13.5" hidden="false" customHeight="true" outlineLevel="0" collapsed="false">
      <c r="A27" s="158" t="s">
        <v>371</v>
      </c>
      <c r="C27" s="159"/>
      <c r="E27" s="158" t="s">
        <v>372</v>
      </c>
      <c r="F27" s="163" t="str">
        <f aca="false">IF(F24=3,"ALERTA","")</f>
        <v/>
      </c>
      <c r="G27" s="159"/>
      <c r="I27" s="158" t="s">
        <v>373</v>
      </c>
      <c r="K27" s="159"/>
      <c r="L27" s="121"/>
      <c r="M27" s="160" t="s">
        <v>199</v>
      </c>
      <c r="N27" s="154" t="n">
        <v>1</v>
      </c>
      <c r="O27" s="159" t="n">
        <f aca="false">FORMULAS!T31</f>
        <v>0</v>
      </c>
      <c r="Q27" s="173" t="s">
        <v>374</v>
      </c>
      <c r="R27" s="173"/>
      <c r="S27" s="173"/>
    </row>
    <row r="28" s="120" customFormat="true" ht="13.5" hidden="false" customHeight="true" outlineLevel="0" collapsed="false">
      <c r="A28" s="158" t="s">
        <v>375</v>
      </c>
      <c r="C28" s="159"/>
      <c r="E28" s="160" t="s">
        <v>181</v>
      </c>
      <c r="F28" s="154" t="n">
        <v>2</v>
      </c>
      <c r="G28" s="174" t="n">
        <f aca="false">FORMULAS!J26</f>
        <v>1.47340520313614</v>
      </c>
      <c r="I28" s="158" t="s">
        <v>376</v>
      </c>
      <c r="K28" s="159"/>
      <c r="L28" s="121"/>
      <c r="M28" s="158" t="s">
        <v>377</v>
      </c>
      <c r="O28" s="159"/>
      <c r="Q28" s="175"/>
      <c r="R28" s="176"/>
      <c r="S28" s="177"/>
    </row>
    <row r="29" customFormat="false" ht="25.5" hidden="false" customHeight="true" outlineLevel="0" collapsed="false">
      <c r="A29" s="158" t="s">
        <v>378</v>
      </c>
      <c r="B29" s="163" t="str">
        <f aca="false">IF(B26=3,"NEGADO","")</f>
        <v/>
      </c>
      <c r="C29" s="164"/>
      <c r="E29" s="158" t="s">
        <v>379</v>
      </c>
      <c r="G29" s="159"/>
      <c r="H29" s="120"/>
      <c r="I29" s="158" t="s">
        <v>380</v>
      </c>
      <c r="K29" s="159"/>
      <c r="M29" s="158" t="s">
        <v>381</v>
      </c>
      <c r="O29" s="159"/>
      <c r="Q29" s="178"/>
      <c r="R29" s="179" t="s">
        <v>382</v>
      </c>
      <c r="S29" s="180" t="s">
        <v>383</v>
      </c>
    </row>
    <row r="30" customFormat="false" ht="13.5" hidden="false" customHeight="true" outlineLevel="0" collapsed="false">
      <c r="A30" s="158" t="s">
        <v>384</v>
      </c>
      <c r="B30" s="163" t="str">
        <f aca="false">IF(B26=4,"NEGADO","")</f>
        <v/>
      </c>
      <c r="C30" s="159"/>
      <c r="E30" s="158" t="s">
        <v>385</v>
      </c>
      <c r="G30" s="159"/>
      <c r="H30" s="120"/>
      <c r="I30" s="158" t="s">
        <v>386</v>
      </c>
      <c r="J30" s="163" t="str">
        <f aca="false">IF(J25=4,"NEGADO","")</f>
        <v/>
      </c>
      <c r="K30" s="159"/>
      <c r="M30" s="158" t="s">
        <v>387</v>
      </c>
      <c r="O30" s="159"/>
      <c r="Q30" s="181" t="s">
        <v>388</v>
      </c>
      <c r="R30" s="182" t="n">
        <f aca="false">C54</f>
        <v>23.6129764961485</v>
      </c>
      <c r="S30" s="183" t="n">
        <f aca="false">'DETALLE DE CALIFICACIONES'!C4</f>
        <v>23.7704918032787</v>
      </c>
    </row>
    <row r="31" customFormat="false" ht="13.5" hidden="false" customHeight="true" outlineLevel="0" collapsed="false">
      <c r="A31" s="158" t="s">
        <v>389</v>
      </c>
      <c r="B31" s="163" t="str">
        <f aca="false">IF(B26=5,"ALERTA","")</f>
        <v/>
      </c>
      <c r="C31" s="159"/>
      <c r="E31" s="158" t="s">
        <v>390</v>
      </c>
      <c r="G31" s="159"/>
      <c r="H31" s="120"/>
      <c r="I31" s="160" t="s">
        <v>196</v>
      </c>
      <c r="J31" s="154" t="n">
        <v>1</v>
      </c>
      <c r="K31" s="159" t="n">
        <f aca="false">FORMULAS!O30</f>
        <v>2.81307595305073</v>
      </c>
      <c r="M31" s="162"/>
      <c r="O31" s="159"/>
      <c r="Q31" s="181" t="s">
        <v>391</v>
      </c>
      <c r="R31" s="182" t="n">
        <f aca="false">G57</f>
        <v>16.0804971489665</v>
      </c>
      <c r="S31" s="183" t="n">
        <f aca="false">'DETALLE DE CALIFICACIONES'!C5</f>
        <v>17.2131147540984</v>
      </c>
    </row>
    <row r="32" s="120" customFormat="true" ht="13.5" hidden="false" customHeight="true" outlineLevel="0" collapsed="false">
      <c r="A32" s="158" t="s">
        <v>392</v>
      </c>
      <c r="C32" s="159"/>
      <c r="E32" s="158" t="s">
        <v>393</v>
      </c>
      <c r="F32" s="163" t="str">
        <f aca="false">IF(F28=4,"ALERTA","")</f>
        <v/>
      </c>
      <c r="G32" s="159"/>
      <c r="I32" s="158" t="s">
        <v>394</v>
      </c>
      <c r="K32" s="159"/>
      <c r="L32" s="121"/>
      <c r="M32" s="162"/>
      <c r="O32" s="159"/>
      <c r="Q32" s="181" t="s">
        <v>395</v>
      </c>
      <c r="R32" s="182" t="n">
        <f aca="false">K46</f>
        <v>18.4608109418954</v>
      </c>
      <c r="S32" s="183" t="n">
        <f aca="false">'DETALLE DE CALIFICACIONES'!C6</f>
        <v>23.7704918032787</v>
      </c>
    </row>
    <row r="33" customFormat="false" ht="13.5" hidden="false" customHeight="true" outlineLevel="0" collapsed="false">
      <c r="A33" s="160" t="s">
        <v>215</v>
      </c>
      <c r="B33" s="154" t="n">
        <v>4</v>
      </c>
      <c r="C33" s="159" t="n">
        <f aca="false">FORMULAS!E37</f>
        <v>1.2028441635394</v>
      </c>
      <c r="E33" s="160" t="s">
        <v>201</v>
      </c>
      <c r="F33" s="154" t="n">
        <v>1</v>
      </c>
      <c r="G33" s="174" t="n">
        <f aca="false">FORMULAS!J32</f>
        <v>1.87099073414113</v>
      </c>
      <c r="H33" s="120"/>
      <c r="I33" s="158" t="s">
        <v>396</v>
      </c>
      <c r="K33" s="159"/>
      <c r="M33" s="160" t="s">
        <v>397</v>
      </c>
      <c r="O33" s="159"/>
      <c r="Q33" s="181" t="s">
        <v>398</v>
      </c>
      <c r="R33" s="182" t="n">
        <f aca="false">O55</f>
        <v>17.2131147540984</v>
      </c>
      <c r="S33" s="183" t="n">
        <f aca="false">'DETALLE DE CALIFICACIONES'!C7</f>
        <v>17.2131147540984</v>
      </c>
    </row>
    <row r="34" s="120" customFormat="true" ht="13.5" hidden="false" customHeight="true" outlineLevel="0" collapsed="false">
      <c r="A34" s="158" t="s">
        <v>399</v>
      </c>
      <c r="C34" s="159"/>
      <c r="E34" s="158" t="s">
        <v>400</v>
      </c>
      <c r="G34" s="159"/>
      <c r="I34" s="158" t="s">
        <v>401</v>
      </c>
      <c r="K34" s="164"/>
      <c r="L34" s="121"/>
      <c r="M34" s="160" t="s">
        <v>222</v>
      </c>
      <c r="N34" s="154" t="n">
        <v>1</v>
      </c>
      <c r="O34" s="159" t="n">
        <f aca="false">FORMULAS!T38</f>
        <v>4.41361916771753</v>
      </c>
      <c r="Q34" s="181" t="s">
        <v>402</v>
      </c>
      <c r="R34" s="182" t="n">
        <f aca="false">S24</f>
        <v>11.4754098360656</v>
      </c>
      <c r="S34" s="183" t="n">
        <f aca="false">'DETALLE DE CALIFICACIONES'!C8</f>
        <v>18.0327868852459</v>
      </c>
    </row>
    <row r="35" s="120" customFormat="true" ht="13.5" hidden="false" customHeight="true" outlineLevel="0" collapsed="false">
      <c r="A35" s="158" t="s">
        <v>403</v>
      </c>
      <c r="C35" s="159"/>
      <c r="E35" s="158" t="s">
        <v>404</v>
      </c>
      <c r="G35" s="159"/>
      <c r="I35" s="160" t="s">
        <v>213</v>
      </c>
      <c r="J35" s="154" t="n">
        <v>2</v>
      </c>
      <c r="K35" s="159" t="n">
        <f aca="false">FORMULAS!O35</f>
        <v>2.63725870598506</v>
      </c>
      <c r="L35" s="121"/>
      <c r="M35" s="158" t="s">
        <v>405</v>
      </c>
      <c r="O35" s="159"/>
      <c r="Q35" s="184"/>
      <c r="R35" s="176"/>
      <c r="S35" s="185"/>
    </row>
    <row r="36" s="120" customFormat="true" ht="13.5" hidden="false" customHeight="true" outlineLevel="0" collapsed="false">
      <c r="A36" s="158" t="s">
        <v>406</v>
      </c>
      <c r="C36" s="159"/>
      <c r="E36" s="158" t="s">
        <v>407</v>
      </c>
      <c r="G36" s="159"/>
      <c r="I36" s="158" t="s">
        <v>408</v>
      </c>
      <c r="K36" s="159"/>
      <c r="L36" s="121"/>
      <c r="M36" s="158" t="s">
        <v>409</v>
      </c>
      <c r="O36" s="159"/>
      <c r="Q36" s="186" t="s">
        <v>61</v>
      </c>
      <c r="R36" s="187" t="n">
        <f aca="false">SUM(R30:R34)</f>
        <v>86.8428091771744</v>
      </c>
      <c r="S36" s="188" t="n">
        <f aca="false">SUM(S30:S35)</f>
        <v>100</v>
      </c>
    </row>
    <row r="37" s="120" customFormat="true" ht="13.5" hidden="false" customHeight="true" outlineLevel="0" collapsed="false">
      <c r="A37" s="158" t="s">
        <v>410</v>
      </c>
      <c r="C37" s="159"/>
      <c r="E37" s="160" t="s">
        <v>411</v>
      </c>
      <c r="F37" s="154" t="n">
        <v>1</v>
      </c>
      <c r="G37" s="174" t="n">
        <f aca="false">FORMULAS!J37</f>
        <v>2.24518888096935</v>
      </c>
      <c r="I37" s="158" t="s">
        <v>412</v>
      </c>
      <c r="K37" s="159"/>
      <c r="L37" s="121"/>
      <c r="M37" s="158" t="s">
        <v>413</v>
      </c>
      <c r="O37" s="159"/>
      <c r="Q37" s="184"/>
      <c r="R37" s="176"/>
      <c r="S37" s="189"/>
    </row>
    <row r="38" customFormat="false" ht="13.5" hidden="false" customHeight="true" outlineLevel="0" collapsed="false">
      <c r="A38" s="158" t="s">
        <v>414</v>
      </c>
      <c r="B38" s="163" t="str">
        <f aca="false">IF(B33=5,"ALERTA","")</f>
        <v/>
      </c>
      <c r="C38" s="159"/>
      <c r="E38" s="158" t="s">
        <v>415</v>
      </c>
      <c r="G38" s="159"/>
      <c r="H38" s="120"/>
      <c r="I38" s="158" t="s">
        <v>416</v>
      </c>
      <c r="K38" s="159"/>
      <c r="M38" s="158" t="s">
        <v>417</v>
      </c>
      <c r="O38" s="159"/>
      <c r="Q38" s="190" t="s">
        <v>418</v>
      </c>
      <c r="R38" s="190"/>
      <c r="S38" s="190"/>
    </row>
    <row r="39" customFormat="false" ht="13.5" hidden="false" customHeight="true" outlineLevel="0" collapsed="false">
      <c r="A39" s="158" t="s">
        <v>419</v>
      </c>
      <c r="B39" s="163" t="str">
        <f aca="false">IF(B33=6,"NEGADO","")</f>
        <v/>
      </c>
      <c r="C39" s="159"/>
      <c r="E39" s="158" t="s">
        <v>420</v>
      </c>
      <c r="G39" s="159"/>
      <c r="H39" s="120"/>
      <c r="I39" s="158" t="s">
        <v>421</v>
      </c>
      <c r="K39" s="159"/>
      <c r="M39" s="160" t="s">
        <v>240</v>
      </c>
      <c r="N39" s="154" t="n">
        <v>1</v>
      </c>
      <c r="O39" s="159" t="n">
        <f aca="false">FORMULAS!T44</f>
        <v>4.41361916771753</v>
      </c>
      <c r="Q39" s="184"/>
      <c r="R39" s="176"/>
      <c r="S39" s="189"/>
    </row>
    <row r="40" customFormat="false" ht="13.5" hidden="false" customHeight="true" outlineLevel="0" collapsed="false">
      <c r="A40" s="160" t="s">
        <v>241</v>
      </c>
      <c r="B40" s="154" t="n">
        <v>5</v>
      </c>
      <c r="C40" s="159" t="n">
        <f aca="false">FORMULAS!E45</f>
        <v>1.07396800316018</v>
      </c>
      <c r="E40" s="168"/>
      <c r="G40" s="167"/>
      <c r="H40" s="120"/>
      <c r="I40" s="160" t="s">
        <v>231</v>
      </c>
      <c r="J40" s="154" t="n">
        <v>2</v>
      </c>
      <c r="K40" s="159" t="n">
        <f aca="false">FORMULAS!O41</f>
        <v>1.3362110776991</v>
      </c>
      <c r="M40" s="158" t="s">
        <v>422</v>
      </c>
      <c r="O40" s="159"/>
      <c r="Q40" s="191" t="s">
        <v>423</v>
      </c>
      <c r="R40" s="192" t="str">
        <f aca="false">IF(R36&gt;=85,"APROBADO","")</f>
        <v>APROBADO</v>
      </c>
      <c r="S40" s="193"/>
    </row>
    <row r="41" s="120" customFormat="true" ht="13.5" hidden="false" customHeight="true" outlineLevel="0" collapsed="false">
      <c r="A41" s="158" t="s">
        <v>424</v>
      </c>
      <c r="C41" s="159"/>
      <c r="E41" s="160" t="s">
        <v>230</v>
      </c>
      <c r="F41" s="154" t="n">
        <v>1</v>
      </c>
      <c r="G41" s="174" t="n">
        <f aca="false">FORMULAS!J41</f>
        <v>0</v>
      </c>
      <c r="I41" s="158" t="s">
        <v>425</v>
      </c>
      <c r="K41" s="159"/>
      <c r="L41" s="121"/>
      <c r="M41" s="158" t="s">
        <v>426</v>
      </c>
      <c r="O41" s="159"/>
      <c r="Q41" s="191" t="s">
        <v>427</v>
      </c>
      <c r="R41" s="194" t="str">
        <f aca="false">IF(AND(R36&gt;=70,R36&lt;85),"APROBADO","")</f>
        <v/>
      </c>
      <c r="S41" s="195"/>
    </row>
    <row r="42" s="120" customFormat="true" ht="13.5" hidden="false" customHeight="true" outlineLevel="0" collapsed="false">
      <c r="A42" s="158" t="s">
        <v>428</v>
      </c>
      <c r="C42" s="159"/>
      <c r="E42" s="158" t="s">
        <v>429</v>
      </c>
      <c r="G42" s="167"/>
      <c r="I42" s="158" t="s">
        <v>341</v>
      </c>
      <c r="K42" s="159"/>
      <c r="L42" s="121"/>
      <c r="M42" s="158" t="s">
        <v>332</v>
      </c>
      <c r="O42" s="159"/>
      <c r="Q42" s="191" t="s">
        <v>430</v>
      </c>
      <c r="R42" s="196" t="str">
        <f aca="false">IF(AND(R36&gt;=60,R36&lt;70),"REVISAR","")</f>
        <v/>
      </c>
      <c r="S42" s="197"/>
    </row>
    <row r="43" s="120" customFormat="true" ht="13.5" hidden="false" customHeight="true" outlineLevel="0" collapsed="false">
      <c r="A43" s="158" t="s">
        <v>431</v>
      </c>
      <c r="C43" s="159"/>
      <c r="E43" s="158" t="s">
        <v>432</v>
      </c>
      <c r="G43" s="167"/>
      <c r="I43" s="158" t="s">
        <v>433</v>
      </c>
      <c r="K43" s="159"/>
      <c r="L43" s="121"/>
      <c r="M43" s="158" t="s">
        <v>434</v>
      </c>
      <c r="O43" s="159"/>
      <c r="Q43" s="191" t="s">
        <v>435</v>
      </c>
      <c r="R43" s="198" t="str">
        <f aca="false">IF(AND(R36&gt;=50,R36&lt;60),"NEGADO","")</f>
        <v/>
      </c>
      <c r="S43" s="195"/>
    </row>
    <row r="44" s="120" customFormat="true" ht="13.5" hidden="false" customHeight="true" outlineLevel="0" collapsed="false">
      <c r="A44" s="158" t="s">
        <v>436</v>
      </c>
      <c r="C44" s="159"/>
      <c r="E44" s="168"/>
      <c r="G44" s="167"/>
      <c r="I44" s="162"/>
      <c r="K44" s="159"/>
      <c r="L44" s="121"/>
      <c r="M44" s="160" t="s">
        <v>255</v>
      </c>
      <c r="N44" s="154" t="n">
        <v>1</v>
      </c>
      <c r="O44" s="159" t="n">
        <f aca="false">FORMULAS!T50</f>
        <v>3.97225725094578</v>
      </c>
      <c r="Q44" s="191" t="s">
        <v>437</v>
      </c>
      <c r="R44" s="198" t="str">
        <f aca="false">IF(R36&lt;50,"NEGADO","")</f>
        <v/>
      </c>
      <c r="S44" s="195"/>
    </row>
    <row r="45" s="120" customFormat="true" ht="13.5" hidden="false" customHeight="true" outlineLevel="0" collapsed="false">
      <c r="A45" s="158" t="s">
        <v>438</v>
      </c>
      <c r="C45" s="159"/>
      <c r="E45" s="160" t="s">
        <v>242</v>
      </c>
      <c r="F45" s="154" t="n">
        <v>1</v>
      </c>
      <c r="G45" s="174" t="n">
        <f aca="false">FORMULAS!J45</f>
        <v>2.05808980755524</v>
      </c>
      <c r="I45" s="199"/>
      <c r="J45" s="200"/>
      <c r="K45" s="201"/>
      <c r="L45" s="121"/>
      <c r="M45" s="158" t="s">
        <v>377</v>
      </c>
      <c r="O45" s="159"/>
      <c r="S45" s="121"/>
    </row>
    <row r="46" customFormat="false" ht="13.5" hidden="false" customHeight="true" outlineLevel="0" collapsed="false">
      <c r="A46" s="160" t="s">
        <v>257</v>
      </c>
      <c r="B46" s="154" t="n">
        <v>2</v>
      </c>
      <c r="C46" s="159" t="n">
        <f aca="false">FORMULAS!E52</f>
        <v>5.58463361643295</v>
      </c>
      <c r="E46" s="158" t="s">
        <v>439</v>
      </c>
      <c r="G46" s="159"/>
      <c r="H46" s="120"/>
      <c r="I46" s="170" t="s">
        <v>440</v>
      </c>
      <c r="J46" s="202"/>
      <c r="K46" s="172" t="n">
        <f aca="false">SUM(K6:K45)</f>
        <v>18.4608109418954</v>
      </c>
      <c r="M46" s="158" t="s">
        <v>441</v>
      </c>
      <c r="O46" s="159"/>
      <c r="Q46" s="83"/>
      <c r="R46" s="83"/>
      <c r="S46" s="84"/>
    </row>
    <row r="47" s="120" customFormat="true" ht="13.5" hidden="false" customHeight="true" outlineLevel="0" collapsed="false">
      <c r="A47" s="158" t="s">
        <v>442</v>
      </c>
      <c r="C47" s="159"/>
      <c r="E47" s="158" t="s">
        <v>443</v>
      </c>
      <c r="G47" s="159"/>
      <c r="L47" s="121"/>
      <c r="M47" s="158" t="s">
        <v>444</v>
      </c>
      <c r="O47" s="159"/>
      <c r="Q47" s="83"/>
      <c r="R47" s="83"/>
      <c r="S47" s="84"/>
    </row>
    <row r="48" s="120" customFormat="true" ht="13.5" hidden="false" customHeight="true" outlineLevel="0" collapsed="false">
      <c r="A48" s="158" t="s">
        <v>445</v>
      </c>
      <c r="C48" s="159"/>
      <c r="E48" s="158" t="s">
        <v>446</v>
      </c>
      <c r="G48" s="159"/>
      <c r="L48" s="121"/>
      <c r="M48" s="158" t="s">
        <v>447</v>
      </c>
      <c r="O48" s="159"/>
      <c r="Q48" s="83"/>
      <c r="R48" s="83"/>
      <c r="S48" s="84"/>
    </row>
    <row r="49" customFormat="false" ht="13.5" hidden="false" customHeight="true" outlineLevel="0" collapsed="false">
      <c r="A49" s="160" t="s">
        <v>266</v>
      </c>
      <c r="B49" s="154" t="n">
        <v>2</v>
      </c>
      <c r="C49" s="159" t="n">
        <f aca="false">FORMULAS!E56</f>
        <v>2.00474027256567</v>
      </c>
      <c r="E49" s="160" t="s">
        <v>254</v>
      </c>
      <c r="F49" s="154" t="n">
        <v>1</v>
      </c>
      <c r="G49" s="174" t="n">
        <f aca="false">FORMULAS!J50</f>
        <v>1.96454027084818</v>
      </c>
      <c r="H49" s="120"/>
      <c r="M49" s="160" t="s">
        <v>267</v>
      </c>
      <c r="N49" s="154" t="n">
        <v>1</v>
      </c>
      <c r="O49" s="159" t="n">
        <f aca="false">FORMULAS!T56</f>
        <v>4.41361916771753</v>
      </c>
      <c r="Q49" s="83"/>
      <c r="R49" s="83"/>
      <c r="S49" s="84"/>
    </row>
    <row r="50" s="120" customFormat="true" ht="13.5" hidden="false" customHeight="true" outlineLevel="0" collapsed="false">
      <c r="A50" s="158" t="s">
        <v>448</v>
      </c>
      <c r="C50" s="159"/>
      <c r="E50" s="158" t="s">
        <v>399</v>
      </c>
      <c r="G50" s="159"/>
      <c r="L50" s="121"/>
      <c r="M50" s="158" t="s">
        <v>364</v>
      </c>
      <c r="O50" s="159"/>
      <c r="Q50" s="83"/>
      <c r="R50" s="83"/>
      <c r="S50" s="84"/>
    </row>
    <row r="51" s="120" customFormat="true" ht="13.5" hidden="false" customHeight="true" outlineLevel="0" collapsed="false">
      <c r="A51" s="158" t="s">
        <v>449</v>
      </c>
      <c r="C51" s="159"/>
      <c r="E51" s="158" t="s">
        <v>450</v>
      </c>
      <c r="G51" s="159"/>
      <c r="L51" s="121"/>
      <c r="M51" s="158" t="s">
        <v>451</v>
      </c>
      <c r="O51" s="159"/>
      <c r="Q51" s="83"/>
      <c r="R51" s="83"/>
      <c r="S51" s="84"/>
    </row>
    <row r="52" s="120" customFormat="true" ht="13.5" hidden="false" customHeight="true" outlineLevel="0" collapsed="false">
      <c r="A52" s="158" t="s">
        <v>452</v>
      </c>
      <c r="C52" s="159"/>
      <c r="E52" s="158" t="s">
        <v>453</v>
      </c>
      <c r="G52" s="159"/>
      <c r="L52" s="121"/>
      <c r="M52" s="158" t="s">
        <v>454</v>
      </c>
      <c r="O52" s="159"/>
      <c r="Q52" s="83"/>
      <c r="R52" s="83"/>
      <c r="S52" s="84"/>
    </row>
    <row r="53" customFormat="false" ht="13.5" hidden="false" customHeight="true" outlineLevel="0" collapsed="false">
      <c r="A53" s="199"/>
      <c r="B53" s="200"/>
      <c r="C53" s="201"/>
      <c r="E53" s="160" t="s">
        <v>265</v>
      </c>
      <c r="F53" s="154" t="n">
        <v>2</v>
      </c>
      <c r="G53" s="174"/>
      <c r="H53" s="120"/>
      <c r="M53" s="158" t="s">
        <v>455</v>
      </c>
      <c r="O53" s="159"/>
      <c r="Q53" s="83"/>
      <c r="R53" s="83"/>
      <c r="S53" s="84"/>
    </row>
    <row r="54" customFormat="false" ht="13.5" hidden="false" customHeight="true" outlineLevel="0" collapsed="false">
      <c r="A54" s="170" t="s">
        <v>456</v>
      </c>
      <c r="B54" s="202"/>
      <c r="C54" s="172" t="n">
        <f aca="false">SUM(C6:C53)</f>
        <v>23.6129764961485</v>
      </c>
      <c r="E54" s="158" t="s">
        <v>399</v>
      </c>
      <c r="G54" s="159"/>
      <c r="H54" s="120"/>
      <c r="M54" s="203"/>
      <c r="N54" s="200"/>
      <c r="O54" s="201"/>
      <c r="Q54" s="83"/>
      <c r="R54" s="83"/>
      <c r="S54" s="84"/>
    </row>
    <row r="55" customFormat="false" ht="13.5" hidden="false" customHeight="true" outlineLevel="0" collapsed="false">
      <c r="E55" s="158" t="s">
        <v>450</v>
      </c>
      <c r="G55" s="159"/>
      <c r="H55" s="120"/>
      <c r="M55" s="170" t="s">
        <v>457</v>
      </c>
      <c r="N55" s="202"/>
      <c r="O55" s="172" t="n">
        <f aca="false">SUM(O6:O53)</f>
        <v>17.2131147540984</v>
      </c>
    </row>
    <row r="56" s="120" customFormat="true" ht="13.5" hidden="false" customHeight="true" outlineLevel="0" collapsed="false">
      <c r="A56" s="204"/>
      <c r="C56" s="121"/>
      <c r="E56" s="199"/>
      <c r="F56" s="200"/>
      <c r="G56" s="201"/>
      <c r="L56" s="121"/>
    </row>
    <row r="57" customFormat="false" ht="13.5" hidden="false" customHeight="true" outlineLevel="0" collapsed="false">
      <c r="E57" s="170" t="s">
        <v>458</v>
      </c>
      <c r="F57" s="171"/>
      <c r="G57" s="172" t="n">
        <f aca="false">SUM(G6:G56)</f>
        <v>16.0804971489665</v>
      </c>
      <c r="H57" s="120"/>
      <c r="O57" s="121"/>
    </row>
  </sheetData>
  <mergeCells count="9">
    <mergeCell ref="A1:S1"/>
    <mergeCell ref="B2:C2"/>
    <mergeCell ref="F2:G2"/>
    <mergeCell ref="I2:J2"/>
    <mergeCell ref="Q2:R2"/>
    <mergeCell ref="U2:V2"/>
    <mergeCell ref="U7:V7"/>
    <mergeCell ref="Q27:S27"/>
    <mergeCell ref="Q38:S38"/>
  </mergeCells>
  <dataValidations count="9">
    <dataValidation allowBlank="true" error="PUEDE LEGIR ENTRE U o R" errorStyle="stop" errorTitle="ELIJA LETRA" operator="equal" prompt="U&#10;R" promptTitle="ELIJA CODIGO" showDropDown="false" showErrorMessage="true" showInputMessage="true" sqref="K2" type="list">
      <formula1>$U$8:$U$9</formula1>
      <formula2>0</formula2>
    </dataValidation>
    <dataValidation allowBlank="true" error="PUEDE LEGIR ENTRE R , P , M" errorStyle="stop" errorTitle="ELIJA LETRA" operator="equal" prompt="R&#10;P&#10;M" promptTitle="ELIJA CODIGO" showDropDown="false" showErrorMessage="true" showInputMessage="true" sqref="S2" type="list">
      <formula1>$U$3:$U$5</formula1>
      <formula2>0</formula2>
    </dataValidation>
    <dataValidation allowBlank="true" error="PUEDE LEGIR ENTRE 1 , 2 , 3,4" errorStyle="stop" errorTitle="ELIJA CALIFICACION" operator="between" prompt="1&#10;2&#10;3&#10;4" promptTitle="ELIJA CODIGO" showDropDown="false" showErrorMessage="true" showInputMessage="true" sqref="B6 J16 J35" type="whole">
      <formula1>1</formula1>
      <formula2>4</formula2>
    </dataValidation>
    <dataValidation allowBlank="true" error="PUEDE LEGIR ENTRE 1 , 2 , 3 , 4" errorStyle="stop" errorTitle="ELIJA CALIFICACION" operator="between" prompt="1&#10;2&#10;3&#10;4" promptTitle="ELIJA CODIGO" showDropDown="false" showErrorMessage="true" showInputMessage="true" sqref="F6 B11 F11 R11 J25 F28 N34 N39 N44 N49" type="whole">
      <formula1>1</formula1>
      <formula2>4</formula2>
    </dataValidation>
    <dataValidation allowBlank="true" error="PUEDE LEGIR ENTRE 1 , 2 , 3" errorStyle="stop" errorTitle="ELIJA CALIFICACION" operator="between" prompt="1&#10;2&#10;3" promptTitle="ELIJA CODIGO" showDropDown="false" showErrorMessage="true" showInputMessage="true" sqref="J6 R6 N7 N11 N15 B17 R18 N19 B21 J21 N23 F24 N27 J31 F33 J40 F45 F49" type="whole">
      <formula1>1</formula1>
      <formula2>3</formula2>
    </dataValidation>
    <dataValidation allowBlank="true" error="PUEDE LEGIR ENTRE 1 , 2 , 3 , 4 , 5 , 6" errorStyle="stop" errorTitle="ELIJA CALIFICACION" operator="between" prompt="1&#10;2&#10;3&#10;4&#10;5&#10;6" promptTitle="ELIJA CODIGO" showDropDown="false" showErrorMessage="true" showInputMessage="true" sqref="B26 B33" type="whole">
      <formula1>1</formula1>
      <formula2>6</formula2>
    </dataValidation>
    <dataValidation allowBlank="true" error="PUEDE LEGIR ENTRE 1 , 2" errorStyle="stop" errorTitle="ELIJA CALIFICACION" operator="between" prompt="1&#10;2" promptTitle="ELIJA CODIGO" showDropDown="false" showErrorMessage="true" showInputMessage="true" sqref="F37 F41 B46 F53" type="whole">
      <formula1>1</formula1>
      <formula2>2</formula2>
    </dataValidation>
    <dataValidation allowBlank="true" error="PUEDE LEGIR ENTRE 1 , 2 , 3 , 4 , 5 " errorStyle="stop" errorTitle="ELIJA CALIFICACION" operator="between" prompt="1&#10;2&#10;3&#10;4&#10;5" promptTitle="ELIJA CODIGO" showDropDown="false" showErrorMessage="true" showInputMessage="true" sqref="B40" type="whole">
      <formula1>1</formula1>
      <formula2>5</formula2>
    </dataValidation>
    <dataValidation allowBlank="true" error="PUEDE LEGIR ENTRE 1 , 2 , 3 , 4 , 5 " errorStyle="stop" errorTitle="ELIJA CALIFICACION" operator="between" prompt="1&#10;2&#10;3" promptTitle="ELIJA CODIGO" showDropDown="false" showErrorMessage="true" showInputMessage="true" sqref="B49" type="whole">
      <formula1>1</formula1>
      <formula2>3</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B17" activeCellId="0" sqref="B17"/>
    </sheetView>
  </sheetViews>
  <sheetFormatPr defaultColWidth="10.859375" defaultRowHeight="12.75" zeroHeight="false" outlineLevelRow="0" outlineLevelCol="0"/>
  <cols>
    <col collapsed="false" customWidth="true" hidden="false" outlineLevel="0" max="2" min="2" style="205" width="40.57"/>
  </cols>
  <sheetData>
    <row r="1" customFormat="false" ht="12.75" hidden="false" customHeight="false" outlineLevel="0" collapsed="false">
      <c r="A1" s="206" t="s">
        <v>459</v>
      </c>
      <c r="B1" s="206" t="s">
        <v>460</v>
      </c>
    </row>
    <row r="2" customFormat="false" ht="12.75" hidden="false" customHeight="false" outlineLevel="0" collapsed="false">
      <c r="A2" s="207" t="n">
        <v>44685</v>
      </c>
      <c r="B2" s="208" t="s">
        <v>461</v>
      </c>
    </row>
    <row r="3" customFormat="false" ht="12.75" hidden="false" customHeight="false" outlineLevel="0" collapsed="false">
      <c r="A3" s="207" t="n">
        <v>44708</v>
      </c>
      <c r="B3" s="208" t="s">
        <v>461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A1" activeCellId="0" sqref="A1"/>
    </sheetView>
  </sheetViews>
  <sheetFormatPr defaultColWidth="11.2890625" defaultRowHeight="13.5" zeroHeight="false" outlineLevelRow="0" outlineLevelCol="0"/>
  <cols>
    <col collapsed="false" customWidth="true" hidden="false" outlineLevel="0" max="1" min="1" style="120" width="23.71"/>
    <col collapsed="false" customWidth="true" hidden="false" outlineLevel="0" max="2" min="2" style="121" width="10.85"/>
    <col collapsed="false" customWidth="true" hidden="false" outlineLevel="0" max="3" min="3" style="121" width="8.86"/>
    <col collapsed="false" customWidth="true" hidden="false" outlineLevel="0" max="4" min="4" style="120" width="4.71"/>
    <col collapsed="false" customWidth="true" hidden="false" outlineLevel="0" max="5" min="5" style="120" width="5.86"/>
    <col collapsed="false" customWidth="true" hidden="false" outlineLevel="0" max="6" min="6" style="120" width="47.71"/>
    <col collapsed="false" customWidth="true" hidden="false" outlineLevel="0" max="7" min="7" style="121" width="10.85"/>
    <col collapsed="false" customWidth="true" hidden="false" outlineLevel="0" max="8" min="8" style="121" width="10.71"/>
    <col collapsed="false" customWidth="true" hidden="false" outlineLevel="0" max="9" min="9" style="120" width="4.71"/>
    <col collapsed="false" customWidth="true" hidden="false" outlineLevel="0" max="10" min="10" style="120" width="10.85"/>
    <col collapsed="false" customWidth="true" hidden="false" outlineLevel="0" max="11" min="11" style="120" width="46.29"/>
    <col collapsed="false" customWidth="true" hidden="false" outlineLevel="0" max="12" min="12" style="121" width="10.85"/>
    <col collapsed="false" customWidth="true" hidden="false" outlineLevel="0" max="13" min="13" style="121" width="8.86"/>
    <col collapsed="false" customWidth="true" hidden="false" outlineLevel="0" max="14" min="14" style="121" width="5"/>
    <col collapsed="false" customWidth="true" hidden="false" outlineLevel="0" max="15" min="15" style="120" width="5.86"/>
    <col collapsed="false" customWidth="true" hidden="false" outlineLevel="0" max="16" min="16" style="120" width="31.71"/>
    <col collapsed="false" customWidth="true" hidden="false" outlineLevel="0" max="17" min="17" style="120" width="10.85"/>
    <col collapsed="false" customWidth="true" hidden="false" outlineLevel="0" max="18" min="18" style="120" width="8.86"/>
    <col collapsed="false" customWidth="true" hidden="false" outlineLevel="0" max="19" min="19" style="120" width="5.42"/>
    <col collapsed="false" customWidth="true" hidden="false" outlineLevel="0" max="20" min="20" style="121" width="6.85"/>
    <col collapsed="false" customWidth="true" hidden="false" outlineLevel="0" max="21" min="21" style="120" width="33"/>
    <col collapsed="false" customWidth="true" hidden="false" outlineLevel="0" max="22" min="22" style="120" width="10.85"/>
    <col collapsed="false" customWidth="true" hidden="false" outlineLevel="0" max="23" min="23" style="121" width="8.86"/>
    <col collapsed="false" customWidth="true" hidden="false" outlineLevel="0" max="24" min="24" style="120" width="4.86"/>
    <col collapsed="false" customWidth="true" hidden="false" outlineLevel="0" max="25" min="25" style="120" width="7"/>
    <col collapsed="false" customWidth="false" hidden="false" outlineLevel="0" max="16384" min="26" style="120" width="11.29"/>
  </cols>
  <sheetData>
    <row r="1" customFormat="false" ht="13.5" hidden="false" customHeight="true" outlineLevel="0" collapsed="false">
      <c r="A1" s="132" t="s">
        <v>462</v>
      </c>
      <c r="B1" s="209"/>
      <c r="C1" s="209"/>
      <c r="F1" s="132" t="s">
        <v>463</v>
      </c>
      <c r="G1" s="210" t="str">
        <f aca="false">'INGRESO DE DATOS'!K2</f>
        <v>U</v>
      </c>
      <c r="P1" s="211" t="s">
        <v>464</v>
      </c>
      <c r="Q1" s="211"/>
      <c r="R1" s="212" t="str">
        <f aca="false">'INGRESO DE DATOS'!S2</f>
        <v>P</v>
      </c>
    </row>
    <row r="2" customFormat="false" ht="13.5" hidden="false" customHeight="true" outlineLevel="0" collapsed="false">
      <c r="A2" s="132" t="s">
        <v>465</v>
      </c>
      <c r="B2" s="209"/>
      <c r="C2" s="209"/>
    </row>
    <row r="3" customFormat="false" ht="13.5" hidden="false" customHeight="true" outlineLevel="0" collapsed="false">
      <c r="A3" s="213" t="str">
        <f aca="false">'ENTRADA DE PARAMETROS'!A41</f>
        <v>1.  CARÁCTER</v>
      </c>
      <c r="E3" s="214" t="n">
        <f aca="false">'DETALLE DE CALIFICACIONES'!C4</f>
        <v>23.7704918032787</v>
      </c>
      <c r="F3" s="213" t="str">
        <f aca="false">'ENTRADA DE PARAMETROS'!D41</f>
        <v>2.  CAPACIDAD DE GESTION </v>
      </c>
      <c r="J3" s="214" t="n">
        <f aca="false">'DETALLE DE CALIFICACIONES'!C5</f>
        <v>17.2131147540984</v>
      </c>
      <c r="K3" s="213" t="str">
        <f aca="false">'ENTRADA DE PARAMETROS'!G41</f>
        <v>3.  CAPACIDAD DE PAGO</v>
      </c>
      <c r="O3" s="215" t="n">
        <f aca="false">'DETALLE DE CALIFICACIONES'!C6</f>
        <v>23.7704918032787</v>
      </c>
      <c r="P3" s="213" t="str">
        <f aca="false">'ENTRADA DE PARAMETROS'!J41</f>
        <v>4.  COLATERAL</v>
      </c>
      <c r="Q3" s="216"/>
      <c r="R3" s="216"/>
      <c r="S3" s="216"/>
      <c r="T3" s="134" t="n">
        <f aca="false">'DETALLE DE CALIFICACIONES'!C7</f>
        <v>17.2131147540984</v>
      </c>
      <c r="U3" s="213" t="str">
        <f aca="false">'ENTRADA DE PARAMETROS'!M41</f>
        <v>5. CONDICIONES/MERCADO</v>
      </c>
      <c r="Y3" s="215" t="n">
        <f aca="false">'DETALLE DE CALIFICACIONES'!C8</f>
        <v>18.0327868852459</v>
      </c>
    </row>
    <row r="4" customFormat="false" ht="13.5" hidden="false" customHeight="true" outlineLevel="0" collapsed="false">
      <c r="A4" s="217"/>
      <c r="B4" s="218" t="s">
        <v>466</v>
      </c>
      <c r="C4" s="218" t="s">
        <v>467</v>
      </c>
      <c r="D4" s="219" t="s">
        <v>468</v>
      </c>
      <c r="E4" s="219" t="s">
        <v>469</v>
      </c>
      <c r="F4" s="217"/>
      <c r="G4" s="218" t="s">
        <v>466</v>
      </c>
      <c r="H4" s="218" t="s">
        <v>467</v>
      </c>
      <c r="I4" s="219" t="s">
        <v>468</v>
      </c>
      <c r="J4" s="219" t="s">
        <v>469</v>
      </c>
      <c r="K4" s="217"/>
      <c r="L4" s="218" t="s">
        <v>466</v>
      </c>
      <c r="M4" s="218" t="s">
        <v>467</v>
      </c>
      <c r="N4" s="219" t="s">
        <v>468</v>
      </c>
      <c r="O4" s="219" t="s">
        <v>469</v>
      </c>
      <c r="P4" s="216"/>
      <c r="Q4" s="218" t="s">
        <v>466</v>
      </c>
      <c r="R4" s="218" t="s">
        <v>467</v>
      </c>
      <c r="S4" s="219" t="s">
        <v>468</v>
      </c>
      <c r="T4" s="219" t="s">
        <v>469</v>
      </c>
      <c r="U4" s="217"/>
      <c r="V4" s="218" t="s">
        <v>466</v>
      </c>
      <c r="W4" s="218" t="s">
        <v>467</v>
      </c>
      <c r="X4" s="219" t="s">
        <v>468</v>
      </c>
      <c r="Y4" s="219" t="s">
        <v>469</v>
      </c>
    </row>
    <row r="5" customFormat="false" ht="13.5" hidden="false" customHeight="true" outlineLevel="0" collapsed="false">
      <c r="A5" s="220" t="str">
        <f aca="false">'ENTRADA DE PARAMETROS'!A43</f>
        <v>1.1  Experiencia crediticia</v>
      </c>
      <c r="D5" s="221" t="n">
        <f aca="false">'DETALLE DE CALIFICACIONES'!C14</f>
        <v>0.174698795180723</v>
      </c>
      <c r="E5" s="222" t="n">
        <f aca="false">C10</f>
        <v>4.15267627888604</v>
      </c>
      <c r="F5" s="220" t="str">
        <f aca="false">'ENTRADA DE PARAMETROS'!D43</f>
        <v>2.1 Experiencia en la actividad</v>
      </c>
      <c r="I5" s="221" t="n">
        <f aca="false">'DETALLE DE CALIFICACIONES'!C26</f>
        <v>0.146739130434783</v>
      </c>
      <c r="J5" s="222" t="n">
        <f aca="false">H10</f>
        <v>2.52583749109052</v>
      </c>
      <c r="K5" s="223" t="str">
        <f aca="false">'ENTRADA DE PARAMETROS'!G43</f>
        <v>3.1 Capacidad de pago</v>
      </c>
      <c r="N5" s="224" t="n">
        <f aca="false">'DETALLE DE CALIFICACIONES'!C38</f>
        <v>0.177514792899408</v>
      </c>
      <c r="O5" s="222" t="n">
        <f aca="false">M11</f>
        <v>4.2196139295761</v>
      </c>
      <c r="P5" s="220" t="str">
        <f aca="false">'ENTRADA DE PARAMETROS'!J43</f>
        <v>4.1 GARANTIA REAL</v>
      </c>
      <c r="Q5" s="216"/>
      <c r="R5" s="216"/>
      <c r="S5" s="216"/>
      <c r="U5" s="220" t="str">
        <f aca="false">'ENTRADA DE PARAMETROS'!M43</f>
        <v>5.1 Nivel de competencia</v>
      </c>
      <c r="X5" s="221" t="n">
        <f aca="false">'DETALLE DE CALIFICACIONES'!C68</f>
        <v>0.350649350649351</v>
      </c>
      <c r="Y5" s="222" t="n">
        <f aca="false">W9</f>
        <v>4.21545667447307</v>
      </c>
    </row>
    <row r="6" customFormat="false" ht="13.5" hidden="false" customHeight="true" outlineLevel="0" collapsed="false">
      <c r="A6" s="225" t="str">
        <f aca="false">'ENTRADA DE PARAMETROS'!A44</f>
        <v>1      Puntual</v>
      </c>
      <c r="B6" s="226" t="n">
        <f aca="false">'ENTRADA DE PARAMETROS'!B44</f>
        <v>4</v>
      </c>
      <c r="C6" s="121" t="n">
        <f aca="false">IF('INGRESO DE DATOS'!$B$6=1,FORMULAS!B6/$B$6*$D$5*$E$3,0)</f>
        <v>4.15267627888604</v>
      </c>
      <c r="F6" s="227" t="str">
        <f aca="false">'ENTRADA DE PARAMETROS'!D44</f>
        <v>1    Más de 5 años</v>
      </c>
      <c r="G6" s="228" t="n">
        <f aca="false">'ENTRADA DE PARAMETROS'!E44</f>
        <v>3.5</v>
      </c>
      <c r="H6" s="121" t="n">
        <f aca="false">IF('INGRESO DE DATOS'!$F$6=1,FORMULAS!G6/FORMULAS!$G$6*FORMULAS!$I$5*FORMULAS!$J$3,0)</f>
        <v>2.52583749109052</v>
      </c>
      <c r="K6" s="229" t="str">
        <f aca="false">'ENTRADA DE PARAMETROS'!G44</f>
        <v>1    Suficiente capacidad, cubre la cuota con exceso</v>
      </c>
      <c r="P6" s="109" t="str">
        <f aca="false">'ENTRADA DE PARAMETROS'!J44</f>
        <v>Comercialización:</v>
      </c>
      <c r="Q6" s="110"/>
      <c r="R6" s="110"/>
      <c r="S6" s="230" t="n">
        <f aca="false">'DETALLE DE CALIFICACIONES'!C50</f>
        <v>0.178571428571429</v>
      </c>
      <c r="T6" s="121" t="n">
        <f aca="false">IF($R$1="R",R10,IF($R$1="M",(R10*0.59),0))</f>
        <v>0</v>
      </c>
      <c r="U6" s="227" t="str">
        <f aca="false">'ENTRADA DE PARAMETROS'!M44</f>
        <v>1    Sin competencia en el medio</v>
      </c>
      <c r="V6" s="226" t="n">
        <f aca="false">'ENTRADA DE PARAMETROS'!N44</f>
        <v>3</v>
      </c>
      <c r="W6" s="121" t="n">
        <f aca="false">IF('INGRESO DE DATOS'!$R$6=1,V6/$V$6*$X$5*$Y$3,0)</f>
        <v>0</v>
      </c>
    </row>
    <row r="7" customFormat="false" ht="13.5" hidden="false" customHeight="true" outlineLevel="0" collapsed="false">
      <c r="A7" s="225" t="str">
        <f aca="false">'ENTRADA DE PARAMETROS'!A45</f>
        <v>2      Atrazado</v>
      </c>
      <c r="B7" s="226" t="n">
        <f aca="false">'ENTRADA DE PARAMETROS'!B45</f>
        <v>2</v>
      </c>
      <c r="C7" s="121" t="n">
        <f aca="false">IF('INGRESO DE DATOS'!$B$6=2,FORMULAS!B7/$B$6*$D$5*$E$3,0)</f>
        <v>0</v>
      </c>
      <c r="F7" s="227" t="str">
        <f aca="false">'ENTRADA DE PARAMETROS'!D45</f>
        <v>2    Entre 3 y 5 años</v>
      </c>
      <c r="G7" s="228" t="n">
        <f aca="false">'ENTRADA DE PARAMETROS'!E45</f>
        <v>2.5</v>
      </c>
      <c r="H7" s="121" t="n">
        <f aca="false">IF('INGRESO DE DATOS'!$F$6=2,FORMULAS!G7/FORMULAS!$G$6*FORMULAS!$I$5*FORMULAS!$J$3,0)</f>
        <v>0</v>
      </c>
      <c r="K7" s="231" t="str">
        <f aca="false">'ENTRADA DE PARAMETROS'!G45</f>
        <v>      sobre  el 30%; ingresos provienen del negocio </v>
      </c>
      <c r="L7" s="226" t="n">
        <f aca="false">'ENTRADA DE PARAMETROS'!H45</f>
        <v>20</v>
      </c>
      <c r="M7" s="121" t="n">
        <f aca="false">IF('INGRESO DE DATOS'!$J$6=1,L7/$L$7*$N$5*$O$3,0)</f>
        <v>4.2196139295761</v>
      </c>
      <c r="P7" s="227" t="str">
        <f aca="false">'ENTRADA DE PARAMETROS'!J45</f>
        <v>1    Corto Plazo</v>
      </c>
      <c r="Q7" s="226" t="n">
        <f aca="false">'ENTRADA DE PARAMETROS'!K45</f>
        <v>4</v>
      </c>
      <c r="R7" s="121" t="n">
        <f aca="false">IF('INGRESO DE DATOS'!$N$7=1,Q7/$Q$7*$S$6*$T$3,0)</f>
        <v>3.07377049180328</v>
      </c>
      <c r="S7" s="121"/>
      <c r="U7" s="227" t="str">
        <f aca="false">'ENTRADA DE PARAMETROS'!M45</f>
        <v>2    Mediana competencia</v>
      </c>
      <c r="V7" s="226" t="n">
        <f aca="false">'ENTRADA DE PARAMETROS'!N45</f>
        <v>2</v>
      </c>
      <c r="W7" s="121" t="n">
        <f aca="false">IF('INGRESO DE DATOS'!$R$6=2,V7/$V$6*$X$5*$Y$3,0)</f>
        <v>4.21545667447307</v>
      </c>
    </row>
    <row r="8" customFormat="false" ht="13.5" hidden="false" customHeight="true" outlineLevel="0" collapsed="false">
      <c r="A8" s="225" t="str">
        <f aca="false">'ENTRADA DE PARAMETROS'!A46</f>
        <v>3      Moroso</v>
      </c>
      <c r="B8" s="226" t="n">
        <f aca="false">'ENTRADA DE PARAMETROS'!B46</f>
        <v>1</v>
      </c>
      <c r="C8" s="121" t="n">
        <f aca="false">IF('INGRESO DE DATOS'!$B$6=3,FORMULAS!B8/$B$6*$D$5*$E$3,0)</f>
        <v>0</v>
      </c>
      <c r="F8" s="227" t="str">
        <f aca="false">'ENTRADA DE PARAMETROS'!D46</f>
        <v>3    Entre 1 y 3 años</v>
      </c>
      <c r="G8" s="228" t="n">
        <f aca="false">'ENTRADA DE PARAMETROS'!E46</f>
        <v>1.5</v>
      </c>
      <c r="H8" s="121" t="n">
        <f aca="false">IF('INGRESO DE DATOS'!$F$6=3,FORMULAS!G8/FORMULAS!$G$6*FORMULAS!$I$5*FORMULAS!$J$3,0)</f>
        <v>0</v>
      </c>
      <c r="K8" s="229" t="str">
        <f aca="false">'ENTRADA DE PARAMETROS'!G46</f>
        <v>2    Buena capacidad, cubre la cuota con exceso de hasta</v>
      </c>
      <c r="P8" s="227" t="str">
        <f aca="false">'ENTRADA DE PARAMETROS'!J46</f>
        <v>2    Mediano</v>
      </c>
      <c r="Q8" s="226" t="n">
        <f aca="false">'ENTRADA DE PARAMETROS'!K46</f>
        <v>2</v>
      </c>
      <c r="R8" s="121" t="n">
        <f aca="false">IF('INGRESO DE DATOS'!$N$7=2,Q8/$Q$7*$S$6*$T$3,0)</f>
        <v>0</v>
      </c>
      <c r="S8" s="121"/>
      <c r="U8" s="227" t="str">
        <f aca="false">'ENTRADA DE PARAMETROS'!M46</f>
        <v>3    Alta competencia</v>
      </c>
      <c r="V8" s="226" t="n">
        <f aca="false">'ENTRADA DE PARAMETROS'!N46</f>
        <v>1</v>
      </c>
      <c r="W8" s="121" t="n">
        <f aca="false">IF('INGRESO DE DATOS'!$R$6=3,V8/$V$6*$X$5*$Y$3,0)</f>
        <v>0</v>
      </c>
    </row>
    <row r="9" customFormat="false" ht="13.5" hidden="false" customHeight="true" outlineLevel="0" collapsed="false">
      <c r="A9" s="225" t="str">
        <f aca="false">'ENTRADA DE PARAMETROS'!A47</f>
        <v>4      Juicio o Castigado</v>
      </c>
      <c r="B9" s="226" t="n">
        <f aca="false">'ENTRADA DE PARAMETROS'!B47</f>
        <v>-20</v>
      </c>
      <c r="C9" s="121" t="n">
        <f aca="false">IF('INGRESO DE DATOS'!$B$6=4,FORMULAS!B9/$B$6*$D$5*$E$3,0)</f>
        <v>0</v>
      </c>
      <c r="F9" s="227" t="str">
        <f aca="false">'ENTRADA DE PARAMETROS'!D47</f>
        <v>4    Menos de 1 año</v>
      </c>
      <c r="G9" s="228" t="n">
        <f aca="false">'ENTRADA DE PARAMETROS'!E47</f>
        <v>-40</v>
      </c>
      <c r="H9" s="121" t="n">
        <f aca="false">IF('INGRESO DE DATOS'!$F$6=4,FORMULAS!G9/FORMULAS!$G$6*FORMULAS!$I$5*FORMULAS!$J$3,0)</f>
        <v>0</v>
      </c>
      <c r="K9" s="231" t="str">
        <f aca="false">'ENTRADA DE PARAMETROS'!G47</f>
        <v>      el 29%,  necesita otra fuente de ingresos</v>
      </c>
      <c r="L9" s="226" t="n">
        <f aca="false">'ENTRADA DE PARAMETROS'!H47</f>
        <v>10</v>
      </c>
      <c r="M9" s="121" t="n">
        <f aca="false">IF('INGRESO DE DATOS'!$J$6=2,L9/$L$7*$N$5*$O$3,0)</f>
        <v>0</v>
      </c>
      <c r="P9" s="227" t="str">
        <f aca="false">'ENTRADA DE PARAMETROS'!J47</f>
        <v>3    Largo Plazo</v>
      </c>
      <c r="Q9" s="226" t="n">
        <f aca="false">'ENTRADA DE PARAMETROS'!K47</f>
        <v>0</v>
      </c>
      <c r="R9" s="121" t="n">
        <f aca="false">IF('INGRESO DE DATOS'!$N$7=3,Q9/$Q$7*$S$6*$T$3,0)</f>
        <v>0</v>
      </c>
      <c r="S9" s="121"/>
      <c r="U9" s="232"/>
      <c r="W9" s="130" t="n">
        <f aca="false">SUM(W6:W8)</f>
        <v>4.21545667447307</v>
      </c>
    </row>
    <row r="10" customFormat="false" ht="13.5" hidden="false" customHeight="true" outlineLevel="0" collapsed="false">
      <c r="A10" s="232"/>
      <c r="C10" s="130" t="n">
        <f aca="false">SUM(C6:C9)</f>
        <v>4.15267627888604</v>
      </c>
      <c r="F10" s="232"/>
      <c r="H10" s="130" t="n">
        <f aca="false">SUM(H6:H9)</f>
        <v>2.52583749109052</v>
      </c>
      <c r="K10" s="229" t="str">
        <f aca="false">'ENTRADA DE PARAMETROS'!G48</f>
        <v>3    Insuficiente capacidad, no cubre la cuota.</v>
      </c>
      <c r="L10" s="226" t="n">
        <f aca="false">'ENTRADA DE PARAMETROS'!H48</f>
        <v>-40</v>
      </c>
      <c r="M10" s="121" t="n">
        <f aca="false">IF('INGRESO DE DATOS'!$J$6=3,L10/$L$7*$N$5*$O$3,0)</f>
        <v>0</v>
      </c>
      <c r="P10" s="232"/>
      <c r="Q10" s="217"/>
      <c r="R10" s="233" t="n">
        <f aca="false">SUM(R7:R9)</f>
        <v>3.07377049180328</v>
      </c>
      <c r="S10" s="217"/>
      <c r="U10" s="234" t="str">
        <f aca="false">'ENTRADA DE PARAMETROS'!M48</f>
        <v>5.2 Dinámica del sector</v>
      </c>
      <c r="X10" s="221" t="n">
        <f aca="false">'DETALLE DE CALIFICACIONES'!C69</f>
        <v>0.311688311688312</v>
      </c>
      <c r="Y10" s="222" t="n">
        <f aca="false">W15</f>
        <v>4.21545667447307</v>
      </c>
    </row>
    <row r="11" customFormat="false" ht="13.5" hidden="false" customHeight="true" outlineLevel="0" collapsed="false">
      <c r="A11" s="234" t="str">
        <f aca="false">'ENTRADA DE PARAMETROS'!A49</f>
        <v>1.2  Arraigo del negocio</v>
      </c>
      <c r="D11" s="221" t="n">
        <f aca="false">'DETALLE DE CALIFICACIONES'!C15</f>
        <v>0.126506024096386</v>
      </c>
      <c r="E11" s="222" t="n">
        <f aca="false">C16</f>
        <v>3.00711040884851</v>
      </c>
      <c r="F11" s="234" t="str">
        <f aca="false">'ENTRADA DE PARAMETROS'!D49</f>
        <v>2.2  Organización del negocio</v>
      </c>
      <c r="I11" s="221" t="n">
        <f aca="false">'DETALLE DE CALIFICACIONES'!C27</f>
        <v>0.130434782608696</v>
      </c>
      <c r="J11" s="222" t="n">
        <f aca="false">H20</f>
        <v>1.60370634354954</v>
      </c>
      <c r="K11" s="235"/>
      <c r="M11" s="130" t="n">
        <f aca="false">SUM(M7:M10)</f>
        <v>4.2196139295761</v>
      </c>
      <c r="P11" s="109" t="str">
        <f aca="false">'ENTRADA DE PARAMETROS'!J49</f>
        <v>Estado:</v>
      </c>
      <c r="Q11" s="110"/>
      <c r="R11" s="110"/>
      <c r="S11" s="230" t="n">
        <f aca="false">'DETALLE DE CALIFICACIONES'!C51</f>
        <v>0.178571428571429</v>
      </c>
      <c r="T11" s="121" t="n">
        <f aca="false">IF($R$1="R",R15,IF($R$1="M",(R15*0.59),0))</f>
        <v>0</v>
      </c>
      <c r="U11" s="227" t="str">
        <f aca="false">'ENTRADA DE PARAMETROS'!M49</f>
        <v>1    Sector en crecimiento.</v>
      </c>
      <c r="V11" s="226" t="n">
        <f aca="false">'ENTRADA DE PARAMETROS'!N49</f>
        <v>4</v>
      </c>
      <c r="W11" s="121" t="n">
        <f aca="false">IF('INGRESO DE DATOS'!$R$11=1,V11/$V$11*$X$10*$Y$3,0)</f>
        <v>0</v>
      </c>
    </row>
    <row r="12" customFormat="false" ht="13.5" hidden="false" customHeight="true" outlineLevel="0" collapsed="false">
      <c r="A12" s="225" t="str">
        <f aca="false">'ENTRADA DE PARAMETROS'!A50</f>
        <v>1       Más de 3 años</v>
      </c>
      <c r="B12" s="226" t="n">
        <f aca="false">'ENTRADA DE PARAMETROS'!B50</f>
        <v>3</v>
      </c>
      <c r="C12" s="121" t="n">
        <f aca="false">IF('INGRESO DE DATOS'!$B$11=1,FORMULAS!B12/$B$12*$D$11*$E$3,0)</f>
        <v>3.00711040884851</v>
      </c>
      <c r="F12" s="236" t="str">
        <f aca="false">'ENTRADA DE PARAMETROS'!D50</f>
        <v>1    Buena organización, dispone de registros y</v>
      </c>
      <c r="K12" s="235" t="str">
        <f aca="false">'ENTRADA DE PARAMETROS'!G50</f>
        <v>3.2 Rentabilidad sobre Capital</v>
      </c>
      <c r="N12" s="224" t="n">
        <f aca="false">'DETALLE DE CALIFICACIONES'!C39</f>
        <v>0.14792899408284</v>
      </c>
      <c r="O12" s="222" t="n">
        <f aca="false">M17</f>
        <v>2.10980696478805</v>
      </c>
      <c r="P12" s="227" t="str">
        <f aca="false">'ENTRADA DE PARAMETROS'!J50</f>
        <v>1    Optimo</v>
      </c>
      <c r="Q12" s="226" t="n">
        <f aca="false">'ENTRADA DE PARAMETROS'!K50</f>
        <v>4</v>
      </c>
      <c r="R12" s="121" t="n">
        <f aca="false">IF('INGRESO DE DATOS'!$N$11=1,Q12/$Q$12*$S$11*$T$3,0)</f>
        <v>3.07377049180328</v>
      </c>
      <c r="S12" s="121"/>
      <c r="U12" s="227" t="str">
        <f aca="false">'ENTRADA DE PARAMETROS'!M50</f>
        <v>2    Sector en estabilidad.</v>
      </c>
      <c r="V12" s="226" t="n">
        <f aca="false">'ENTRADA DE PARAMETROS'!N50</f>
        <v>3</v>
      </c>
      <c r="W12" s="121" t="n">
        <f aca="false">IF('INGRESO DE DATOS'!$R$11=2,V12/$V$11*$X$10*$Y$3,0)</f>
        <v>4.21545667447307</v>
      </c>
    </row>
    <row r="13" customFormat="false" ht="13.5" hidden="false" customHeight="true" outlineLevel="0" collapsed="false">
      <c r="A13" s="225" t="str">
        <f aca="false">'ENTRADA DE PARAMETROS'!A51</f>
        <v>2       Entre 2 y 3 años</v>
      </c>
      <c r="B13" s="226" t="n">
        <f aca="false">'ENTRADA DE PARAMETROS'!B51</f>
        <v>2</v>
      </c>
      <c r="C13" s="121" t="n">
        <f aca="false">IF('INGRESO DE DATOS'!$B$11=2,FORMULAS!B13/$B$12*$D$11*$E$3,0)</f>
        <v>0</v>
      </c>
      <c r="F13" s="237" t="str">
        <f aca="false">'ENTRADA DE PARAMETROS'!D51</f>
        <v>      sin problemas en la venta</v>
      </c>
      <c r="G13" s="228" t="n">
        <f aca="false">'ENTRADA DE PARAMETROS'!E51</f>
        <v>1.75</v>
      </c>
      <c r="H13" s="121" t="n">
        <f aca="false">IF('INGRESO DE DATOS'!$F$11=1,FORMULAS!G13/FORMULAS!$G$13*FORMULAS!$I$11*FORMULAS!$J$3,0)</f>
        <v>0</v>
      </c>
      <c r="K13" s="229" t="str">
        <f aca="false">'ENTRADA DE PARAMETROS'!G51</f>
        <v>1    Mayor en 3% a la inflación</v>
      </c>
      <c r="L13" s="226" t="n">
        <f aca="false">'ENTRADA DE PARAMETROS'!H51</f>
        <v>2.5</v>
      </c>
      <c r="M13" s="121" t="n">
        <f aca="false">IF('INGRESO DE DATOS'!$J$16=1,L13/$L$13*$N$12*$O$3,0)</f>
        <v>0</v>
      </c>
      <c r="P13" s="227" t="str">
        <f aca="false">'ENTRADA DE PARAMETROS'!J51</f>
        <v>2    Bueno</v>
      </c>
      <c r="Q13" s="226" t="n">
        <f aca="false">'ENTRADA DE PARAMETROS'!K51</f>
        <v>3</v>
      </c>
      <c r="R13" s="121" t="n">
        <f aca="false">IF('INGRESO DE DATOS'!$N$11=2,Q13/$Q$12*$S$11*$T$3,0)</f>
        <v>0</v>
      </c>
      <c r="S13" s="121"/>
      <c r="U13" s="227" t="str">
        <f aca="false">'ENTRADA DE PARAMETROS'!M51</f>
        <v>3    Sector estancado, sin proyecciones</v>
      </c>
      <c r="V13" s="226" t="n">
        <f aca="false">'ENTRADA DE PARAMETROS'!N51</f>
        <v>2</v>
      </c>
      <c r="W13" s="121" t="n">
        <f aca="false">IF('INGRESO DE DATOS'!$R$11=3,V13/$V$11*$X$10*$Y$3,0)</f>
        <v>0</v>
      </c>
    </row>
    <row r="14" customFormat="false" ht="13.5" hidden="false" customHeight="true" outlineLevel="0" collapsed="false">
      <c r="A14" s="225" t="str">
        <f aca="false">'ENTRADA DE PARAMETROS'!A52</f>
        <v>3       Entre 1 y 2 años</v>
      </c>
      <c r="B14" s="226" t="n">
        <f aca="false">'ENTRADA DE PARAMETROS'!B52</f>
        <v>1</v>
      </c>
      <c r="C14" s="121" t="n">
        <f aca="false">IF('INGRESO DE DATOS'!$B$11=3,FORMULAS!B14/$B$12*$D$11*$E$3,0)</f>
        <v>0</v>
      </c>
      <c r="F14" s="236" t="str">
        <f aca="false">'ENTRADA DE PARAMETROS'!D52</f>
        <v>2    Evidencia buen nivel de ventas, pero con</v>
      </c>
      <c r="K14" s="229" t="str">
        <f aca="false">'ENTRADA DE PARAMETROS'!G52</f>
        <v>2    Igual a la inflación</v>
      </c>
      <c r="L14" s="226" t="n">
        <f aca="false">'ENTRADA DE PARAMETROS'!H52</f>
        <v>1.5</v>
      </c>
      <c r="M14" s="121" t="n">
        <f aca="false">IF('INGRESO DE DATOS'!$J$16=2,L14/$L$13*$N$12*$O$3,0)</f>
        <v>2.10980696478805</v>
      </c>
      <c r="P14" s="227" t="str">
        <f aca="false">'ENTRADA DE PARAMETROS'!J52</f>
        <v>3    Regular</v>
      </c>
      <c r="Q14" s="226" t="n">
        <f aca="false">'ENTRADA DE PARAMETROS'!K52</f>
        <v>1</v>
      </c>
      <c r="R14" s="121" t="n">
        <f aca="false">IF('INGRESO DE DATOS'!$N$11=3,Q14/$Q$12*$S$11*$T$3,0)</f>
        <v>0</v>
      </c>
      <c r="S14" s="121"/>
      <c r="U14" s="227" t="str">
        <f aca="false">'ENTRADA DE PARAMETROS'!M52</f>
        <v>4    Sector en recesión, decreciendo</v>
      </c>
      <c r="V14" s="226" t="n">
        <f aca="false">'ENTRADA DE PARAMETROS'!N52</f>
        <v>1</v>
      </c>
      <c r="W14" s="121" t="n">
        <f aca="false">IF('INGRESO DE DATOS'!$R$11=4,V14/$V$11*$X$10*$Y$3,0)</f>
        <v>0</v>
      </c>
    </row>
    <row r="15" customFormat="false" ht="13.5" hidden="false" customHeight="true" outlineLevel="0" collapsed="false">
      <c r="A15" s="225" t="str">
        <f aca="false">'ENTRADA DE PARAMETROS'!A53</f>
        <v>4       Menos de 1 año</v>
      </c>
      <c r="B15" s="226" t="n">
        <f aca="false">'ENTRADA DE PARAMETROS'!B53</f>
        <v>-10</v>
      </c>
      <c r="C15" s="121" t="n">
        <f aca="false">IF('INGRESO DE DATOS'!$B$11=4,FORMULAS!B15/$B$12*$D$11*$E$3,0)</f>
        <v>0</v>
      </c>
      <c r="F15" s="237" t="str">
        <f aca="false">'ENTRADA DE PARAMETROS'!D53</f>
        <v>      deficiencias en la organización</v>
      </c>
      <c r="G15" s="228" t="n">
        <f aca="false">'ENTRADA DE PARAMETROS'!E53</f>
        <v>1.25</v>
      </c>
      <c r="H15" s="121" t="n">
        <f aca="false">IF('INGRESO DE DATOS'!$F$11=2,FORMULAS!G15/FORMULAS!$G$13*FORMULAS!$I$11*FORMULAS!$J$3,0)</f>
        <v>1.60370634354954</v>
      </c>
      <c r="K15" s="229" t="str">
        <f aca="false">'ENTRADA DE PARAMETROS'!G53</f>
        <v>3    Menor que la inflación</v>
      </c>
      <c r="L15" s="226" t="n">
        <f aca="false">'ENTRADA DE PARAMETROS'!H53</f>
        <v>0</v>
      </c>
      <c r="M15" s="121" t="n">
        <f aca="false">IF('INGRESO DE DATOS'!$J$16=3,L15/$L$13*$N$12*$O$3,0)</f>
        <v>0</v>
      </c>
      <c r="P15" s="232"/>
      <c r="Q15" s="217"/>
      <c r="R15" s="233" t="n">
        <f aca="false">SUM(R12:R14)</f>
        <v>3.07377049180328</v>
      </c>
      <c r="S15" s="217"/>
      <c r="U15" s="232"/>
      <c r="W15" s="130" t="n">
        <f aca="false">SUM(W11:W14)</f>
        <v>4.21545667447307</v>
      </c>
    </row>
    <row r="16" customFormat="false" ht="13.5" hidden="false" customHeight="true" outlineLevel="0" collapsed="false">
      <c r="A16" s="232"/>
      <c r="C16" s="130" t="n">
        <f aca="false">SUM(C12:C15)</f>
        <v>3.00711040884851</v>
      </c>
      <c r="F16" s="236" t="str">
        <f aca="false">'ENTRADA DE PARAMETROS'!D54</f>
        <v>3    Buena o aceptable organización, pero no</v>
      </c>
      <c r="H16" s="238"/>
      <c r="K16" s="229" t="str">
        <f aca="false">'ENTRADA DE PARAMETROS'!G54</f>
        <v>4    Pérdida</v>
      </c>
      <c r="L16" s="226" t="n">
        <f aca="false">'ENTRADA DE PARAMETROS'!H54</f>
        <v>-2</v>
      </c>
      <c r="M16" s="121" t="n">
        <f aca="false">IF('INGRESO DE DATOS'!$J$16=4,L16/$L$13*$N$12*$O$3,0)</f>
        <v>0</v>
      </c>
      <c r="P16" s="109" t="str">
        <f aca="false">'ENTRADA DE PARAMETROS'!J54</f>
        <v>Movilización:</v>
      </c>
      <c r="Q16" s="110"/>
      <c r="R16" s="110"/>
      <c r="S16" s="230" t="n">
        <f aca="false">'DETALLE DE CALIFICACIONES'!C52</f>
        <v>0.160714285714286</v>
      </c>
      <c r="T16" s="121" t="n">
        <f aca="false">IF($R$1="R",R20,IF($R$1="M",(R20*0.59),0))</f>
        <v>0</v>
      </c>
      <c r="U16" s="232"/>
    </row>
    <row r="17" customFormat="false" ht="14.25" hidden="false" customHeight="true" outlineLevel="0" collapsed="false">
      <c r="A17" s="234" t="str">
        <f aca="false">'ENTRADA DE PARAMETROS'!A55</f>
        <v>1.3  Calidad de referencias</v>
      </c>
      <c r="D17" s="221" t="n">
        <f aca="false">'DETALLE DE CALIFICACIONES'!C16</f>
        <v>0.102409638554217</v>
      </c>
      <c r="E17" s="222" t="n">
        <f aca="false">C27</f>
        <v>2.43432747382975</v>
      </c>
      <c r="F17" s="237" t="str">
        <f aca="false">'ENTRADA DE PARAMETROS'!D55</f>
        <v>         posee registros y/o con medianos problemas de venta</v>
      </c>
      <c r="G17" s="228" t="n">
        <f aca="false">'ENTRADA DE PARAMETROS'!E55</f>
        <v>0.75</v>
      </c>
      <c r="H17" s="121" t="n">
        <f aca="false">IF('INGRESO DE DATOS'!$F$11=3,FORMULAS!G17/FORMULAS!$G$13*FORMULAS!$I$11*FORMULAS!$J$3,0)</f>
        <v>0</v>
      </c>
      <c r="I17" s="221"/>
      <c r="J17" s="222"/>
      <c r="K17" s="239"/>
      <c r="M17" s="130" t="n">
        <f aca="false">SUM(M13:M16)</f>
        <v>2.10980696478805</v>
      </c>
      <c r="P17" s="227" t="str">
        <f aca="false">'ENTRADA DE PARAMETROS'!J55</f>
        <v>1    Buena</v>
      </c>
      <c r="Q17" s="226" t="n">
        <f aca="false">'ENTRADA DE PARAMETROS'!K55</f>
        <v>4</v>
      </c>
      <c r="R17" s="121" t="n">
        <f aca="false">IF('INGRESO DE DATOS'!$N$15=1,Q17/$Q$17*$S$16*$T$3,0)</f>
        <v>2.76639344262295</v>
      </c>
      <c r="S17" s="121"/>
      <c r="U17" s="234" t="str">
        <f aca="false">'ENTRADA DE PARAMETROS'!M55</f>
        <v>5.3 Aceptación del producto</v>
      </c>
      <c r="X17" s="221" t="n">
        <f aca="false">'DETALLE DE CALIFICACIONES'!C70</f>
        <v>0.337662337662338</v>
      </c>
      <c r="Y17" s="222" t="n">
        <f aca="false">W21</f>
        <v>3.04449648711944</v>
      </c>
    </row>
    <row r="18" customFormat="false" ht="13.5" hidden="false" customHeight="true" outlineLevel="0" collapsed="false">
      <c r="A18" s="232" t="str">
        <f aca="false">'ENTRADA DE PARAMETROS'!A56</f>
        <v>Comerciales:</v>
      </c>
      <c r="F18" s="236" t="str">
        <f aca="false">'ENTRADA DE PARAMETROS'!D56</f>
        <v>4    Presenta mala organización, no dispone  </v>
      </c>
      <c r="K18" s="235" t="str">
        <f aca="false">'ENTRADA DE PARAMETROS'!G56</f>
        <v>3.3 Sostenibilidad</v>
      </c>
      <c r="N18" s="224" t="n">
        <f aca="false">'DETALLE DE CALIFICACIONES'!C40</f>
        <v>0.142011834319527</v>
      </c>
      <c r="O18" s="222" t="n">
        <f aca="false">M22</f>
        <v>1.68784557183044</v>
      </c>
      <c r="P18" s="227" t="str">
        <f aca="false">'ENTRADA DE PARAMETROS'!J56</f>
        <v>2    Regular</v>
      </c>
      <c r="Q18" s="226" t="n">
        <f aca="false">'ENTRADA DE PARAMETROS'!K56</f>
        <v>3</v>
      </c>
      <c r="R18" s="121" t="n">
        <f aca="false">IF('INGRESO DE DATOS'!$N$15=2,Q18/$Q$17*$S$16*$T$3,0)</f>
        <v>0</v>
      </c>
      <c r="S18" s="121"/>
      <c r="U18" s="227" t="str">
        <f aca="false">'ENTRADA DE PARAMETROS'!M56</f>
        <v>1    Alta aceptación por calidad/precio</v>
      </c>
      <c r="V18" s="226" t="n">
        <f aca="false">'ENTRADA DE PARAMETROS'!N56</f>
        <v>4</v>
      </c>
      <c r="W18" s="121" t="n">
        <f aca="false">IF('INGRESO DE DATOS'!$R$18=1,V18/$V$18*$X$17*$Y$3,0)</f>
        <v>0</v>
      </c>
    </row>
    <row r="19" customFormat="false" ht="13.5" hidden="false" customHeight="true" outlineLevel="0" collapsed="false">
      <c r="A19" s="225" t="str">
        <f aca="false">'ENTRADA DE PARAMETROS'!A57</f>
        <v>1       Buena</v>
      </c>
      <c r="B19" s="226" t="n">
        <f aca="false">'ENTRADA DE PARAMETROS'!B57</f>
        <v>1</v>
      </c>
      <c r="C19" s="121" t="n">
        <f aca="false">IF('INGRESO DE DATOS'!$B$17=1,FORMULAS!B19/$B$19*($D$17*$E$3)/2,0)</f>
        <v>1.21716373691487</v>
      </c>
      <c r="F19" s="237" t="str">
        <f aca="false">'ENTRADA DE PARAMETROS'!D57</f>
        <v>         de registros y/o con graves problemas en la venta</v>
      </c>
      <c r="G19" s="228" t="n">
        <f aca="false">'ENTRADA DE PARAMETROS'!E57</f>
        <v>1</v>
      </c>
      <c r="H19" s="121" t="n">
        <f aca="false">IF('INGRESO DE DATOS'!$F$11=4,FORMULAS!G19/FORMULAS!$G$13*FORMULAS!$I$11*FORMULAS!$J$3,0)</f>
        <v>0</v>
      </c>
      <c r="K19" s="229" t="str">
        <f aca="false">'ENTRADA DE PARAMETROS'!G57</f>
        <v>1    Relación Ingresos/gastos sobre 1,25</v>
      </c>
      <c r="L19" s="226" t="n">
        <f aca="false">'ENTRADA DE PARAMETROS'!H57</f>
        <v>4</v>
      </c>
      <c r="M19" s="121" t="n">
        <f aca="false">IF('INGRESO DE DATOS'!$J$21=1,L19/$L$19*$N$18*$O$3,0)</f>
        <v>0</v>
      </c>
      <c r="P19" s="227" t="str">
        <f aca="false">'ENTRADA DE PARAMETROS'!J57</f>
        <v>3    Deficiente</v>
      </c>
      <c r="Q19" s="226" t="n">
        <f aca="false">'ENTRADA DE PARAMETROS'!K57</f>
        <v>0</v>
      </c>
      <c r="R19" s="121" t="n">
        <f aca="false">IF('INGRESO DE DATOS'!$N$15=3,Q19/$Q$17*$S$16*$T$3,0)</f>
        <v>0</v>
      </c>
      <c r="S19" s="121"/>
      <c r="U19" s="227" t="str">
        <f aca="false">'ENTRADA DE PARAMETROS'!M57</f>
        <v>2    Mediana aceptación</v>
      </c>
      <c r="V19" s="226" t="n">
        <f aca="false">'ENTRADA DE PARAMETROS'!N57</f>
        <v>2</v>
      </c>
      <c r="W19" s="121" t="n">
        <f aca="false">IF('INGRESO DE DATOS'!$R$18=2,V19/$V$18*$X$17*$Y$3,0)</f>
        <v>3.04449648711944</v>
      </c>
    </row>
    <row r="20" customFormat="false" ht="13.5" hidden="false" customHeight="true" outlineLevel="0" collapsed="false">
      <c r="A20" s="225" t="str">
        <f aca="false">'ENTRADA DE PARAMETROS'!A58</f>
        <v>2       Mala</v>
      </c>
      <c r="B20" s="226" t="n">
        <f aca="false">'ENTRADA DE PARAMETROS'!B58</f>
        <v>-1</v>
      </c>
      <c r="C20" s="121" t="n">
        <f aca="false">IF('INGRESO DE DATOS'!$B$17=2,FORMULAS!B20/$B$19*($D$17*$E$3)/2,0)</f>
        <v>0</v>
      </c>
      <c r="F20" s="232"/>
      <c r="H20" s="130" t="n">
        <f aca="false">SUM(H13:H19)</f>
        <v>1.60370634354954</v>
      </c>
      <c r="K20" s="229" t="str">
        <f aca="false">'ENTRADA DE PARAMETROS'!G58</f>
        <v>2    Relación Ingresos/gastos entre 1,10 y 1,25</v>
      </c>
      <c r="L20" s="226" t="n">
        <f aca="false">'ENTRADA DE PARAMETROS'!H58</f>
        <v>2</v>
      </c>
      <c r="M20" s="121" t="n">
        <f aca="false">IF('INGRESO DE DATOS'!$J$21=2,L20/$L$19*$N$18*$O$3,0)</f>
        <v>1.68784557183044</v>
      </c>
      <c r="P20" s="232"/>
      <c r="Q20" s="217"/>
      <c r="R20" s="233" t="n">
        <f aca="false">SUM(R17:R19)</f>
        <v>2.76639344262295</v>
      </c>
      <c r="S20" s="217"/>
      <c r="U20" s="240" t="str">
        <f aca="false">'ENTRADA DE PARAMETROS'!M58</f>
        <v>3    Baja, dificultosa aceptación</v>
      </c>
      <c r="V20" s="226" t="n">
        <f aca="false">'ENTRADA DE PARAMETROS'!N58</f>
        <v>0</v>
      </c>
      <c r="W20" s="121" t="n">
        <f aca="false">IF('INGRESO DE DATOS'!$R$18=3,V20/$V$18*$X$17*$Y$3,0)</f>
        <v>0</v>
      </c>
    </row>
    <row r="21" customFormat="false" ht="13.5" hidden="false" customHeight="true" outlineLevel="0" collapsed="false">
      <c r="A21" s="225" t="str">
        <f aca="false">'ENTRADA DE PARAMETROS'!A59</f>
        <v>3       No tiene referencias</v>
      </c>
      <c r="B21" s="226" t="n">
        <f aca="false">'ENTRADA DE PARAMETROS'!B59</f>
        <v>0.2</v>
      </c>
      <c r="C21" s="121" t="n">
        <f aca="false">IF('INGRESO DE DATOS'!$B$17=3,FORMULAS!B21/$B$19*($D$17*$E$3)/2,0)</f>
        <v>0</v>
      </c>
      <c r="F21" s="234" t="str">
        <f aca="false">'ENTRADA DE PARAMETROS'!D59</f>
        <v>2.3  Dependencia de clientes</v>
      </c>
      <c r="I21" s="221" t="n">
        <f aca="false">'DETALLE DE CALIFICACIONES'!C28</f>
        <v>0.135869565217391</v>
      </c>
      <c r="J21" s="222" t="n">
        <f aca="false">H25</f>
        <v>2.33873841767641</v>
      </c>
      <c r="K21" s="229" t="str">
        <f aca="false">'ENTRADA DE PARAMETROS'!G59</f>
        <v>3    Relación Ingresos/gastos menor a  1,10</v>
      </c>
      <c r="L21" s="226" t="n">
        <f aca="false">'ENTRADA DE PARAMETROS'!H59</f>
        <v>-20</v>
      </c>
      <c r="M21" s="121" t="n">
        <f aca="false">IF('INGRESO DE DATOS'!$J$21=3,L21/$L$19*$N$18*$O$3,0)</f>
        <v>0</v>
      </c>
      <c r="P21" s="109" t="str">
        <f aca="false">'ENTRADA DE PARAMETROS'!J59</f>
        <v>Calidad edif. adyacentes:</v>
      </c>
      <c r="Q21" s="110"/>
      <c r="R21" s="110"/>
      <c r="S21" s="230" t="n">
        <f aca="false">'DETALLE DE CALIFICACIONES'!C53</f>
        <v>0.142857142857143</v>
      </c>
      <c r="T21" s="121" t="n">
        <f aca="false">IF($R$1="R",R25,IF($R$1="M",(R25*0.59),0))</f>
        <v>0</v>
      </c>
      <c r="W21" s="241" t="n">
        <f aca="false">SUM(W18:W20)</f>
        <v>3.04449648711944</v>
      </c>
    </row>
    <row r="22" customFormat="false" ht="13.5" hidden="false" customHeight="true" outlineLevel="0" collapsed="false">
      <c r="A22" s="232"/>
      <c r="F22" s="227" t="str">
        <f aca="false">'ENTRADA DE PARAMETROS'!D60</f>
        <v>1    Sin importancia/consumo masivo</v>
      </c>
      <c r="G22" s="228" t="n">
        <f aca="false">'ENTRADA DE PARAMETROS'!E60</f>
        <v>1.75</v>
      </c>
      <c r="H22" s="121" t="n">
        <f aca="false">IF('INGRESO DE DATOS'!$F$24=1,FORMULAS!G22/FORMULAS!$G$22*FORMULAS!$I$21*FORMULAS!$J$3,0)</f>
        <v>2.33873841767641</v>
      </c>
      <c r="K22" s="242"/>
      <c r="M22" s="130" t="n">
        <f aca="false">SUM(M19:M21)</f>
        <v>1.68784557183044</v>
      </c>
      <c r="P22" s="227" t="str">
        <f aca="false">'ENTRADA DE PARAMETROS'!J60</f>
        <v>1    Buena</v>
      </c>
      <c r="Q22" s="226" t="n">
        <f aca="false">'ENTRADA DE PARAMETROS'!K60</f>
        <v>4</v>
      </c>
      <c r="R22" s="121" t="n">
        <f aca="false">IF('INGRESO DE DATOS'!$N$19=1,Q22/$Q$22*$S$21*$T$3,0)</f>
        <v>2.45901639344262</v>
      </c>
      <c r="S22" s="121"/>
      <c r="U22" s="243" t="s">
        <v>470</v>
      </c>
      <c r="X22" s="244" t="n">
        <f aca="false">SUM(X5:X21)</f>
        <v>1</v>
      </c>
      <c r="Y22" s="245" t="n">
        <f aca="false">SUM(Y5:Y21)</f>
        <v>11.4754098360656</v>
      </c>
    </row>
    <row r="23" customFormat="false" ht="13.5" hidden="false" customHeight="true" outlineLevel="0" collapsed="false">
      <c r="A23" s="232" t="str">
        <f aca="false">'ENTRADA DE PARAMETROS'!A61</f>
        <v>Personales:</v>
      </c>
      <c r="F23" s="227" t="str">
        <f aca="false">'ENTRADA DE PARAMETROS'!D61</f>
        <v>2    Entre 4 y 8 compradores</v>
      </c>
      <c r="G23" s="228" t="n">
        <f aca="false">'ENTRADA DE PARAMETROS'!E61</f>
        <v>1</v>
      </c>
      <c r="H23" s="121" t="n">
        <f aca="false">IF('INGRESO DE DATOS'!$F$24=2,FORMULAS!G23/FORMULAS!$G$22*FORMULAS!$I$21*FORMULAS!$J$3,0)</f>
        <v>0</v>
      </c>
      <c r="K23" s="235" t="str">
        <f aca="false">'ENTRADA DE PARAMETROS'!G61</f>
        <v>3.4  Nivel de endeudamiento</v>
      </c>
      <c r="N23" s="224" t="n">
        <f aca="false">'DETALLE DE CALIFICACIONES'!C41</f>
        <v>0.153846153846154</v>
      </c>
      <c r="O23" s="222" t="n">
        <f aca="false">M29</f>
        <v>3.65699873896595</v>
      </c>
      <c r="P23" s="227" t="str">
        <f aca="false">'ENTRADA DE PARAMETROS'!J61</f>
        <v>2    Regular</v>
      </c>
      <c r="Q23" s="226" t="n">
        <f aca="false">'ENTRADA DE PARAMETROS'!K61</f>
        <v>3</v>
      </c>
      <c r="R23" s="121" t="n">
        <f aca="false">IF('INGRESO DE DATOS'!$N$19=2,Q23/$Q$22*$S$21*$T$3,0)</f>
        <v>0</v>
      </c>
      <c r="S23" s="121"/>
    </row>
    <row r="24" customFormat="false" ht="13.5" hidden="false" customHeight="true" outlineLevel="0" collapsed="false">
      <c r="A24" s="225" t="str">
        <f aca="false">'ENTRADA DE PARAMETROS'!A62</f>
        <v>1       Buena</v>
      </c>
      <c r="B24" s="226" t="n">
        <f aca="false">'ENTRADA DE PARAMETROS'!B62</f>
        <v>1</v>
      </c>
      <c r="C24" s="121" t="n">
        <f aca="false">IF('INGRESO DE DATOS'!$B$21=1,FORMULAS!B24/$B$24*($D$17*$E$3)/2,0)</f>
        <v>1.21716373691487</v>
      </c>
      <c r="F24" s="227" t="str">
        <f aca="false">'ENTRADA DE PARAMETROS'!D62</f>
        <v>3    Intermediario (entre 1 y 3 compradores)</v>
      </c>
      <c r="G24" s="228" t="n">
        <f aca="false">'ENTRADA DE PARAMETROS'!E62</f>
        <v>0</v>
      </c>
      <c r="H24" s="121" t="n">
        <f aca="false">IF('INGRESO DE DATOS'!$F$24=3,FORMULAS!G24/FORMULAS!$G$22*FORMULAS!$I$21*FORMULAS!$J$3,0)</f>
        <v>0</v>
      </c>
      <c r="K24" s="242" t="str">
        <f aca="false">'ENTRADA DE PARAMETROS'!G62</f>
        <v>Relación Pasivos/Activos</v>
      </c>
      <c r="P24" s="227" t="str">
        <f aca="false">'ENTRADA DE PARAMETROS'!J62</f>
        <v>3    Baja</v>
      </c>
      <c r="Q24" s="226" t="n">
        <f aca="false">'ENTRADA DE PARAMETROS'!K62</f>
        <v>0</v>
      </c>
      <c r="R24" s="121" t="n">
        <f aca="false">IF('INGRESO DE DATOS'!$N$19=3,Q24/$Q$22*$S$21*$T$3,0)</f>
        <v>0</v>
      </c>
      <c r="S24" s="121"/>
    </row>
    <row r="25" customFormat="false" ht="13.5" hidden="false" customHeight="true" outlineLevel="0" collapsed="false">
      <c r="A25" s="225" t="str">
        <f aca="false">'ENTRADA DE PARAMETROS'!A63</f>
        <v>2       Mala</v>
      </c>
      <c r="B25" s="226" t="n">
        <f aca="false">'ENTRADA DE PARAMETROS'!B63</f>
        <v>-1</v>
      </c>
      <c r="C25" s="121" t="n">
        <f aca="false">IF('INGRESO DE DATOS'!$B$21=2,FORMULAS!B25/$B$24*($D$17*$E$3)/2,0)</f>
        <v>0</v>
      </c>
      <c r="F25" s="232"/>
      <c r="H25" s="130" t="n">
        <f aca="false">SUM(H22:H24)</f>
        <v>2.33873841767641</v>
      </c>
      <c r="K25" s="229" t="str">
        <f aca="false">'ENTRADA DE PARAMETROS'!G63</f>
        <v>1    Menor al 30%</v>
      </c>
      <c r="L25" s="226" t="n">
        <f aca="false">'ENTRADA DE PARAMETROS'!H63</f>
        <v>4</v>
      </c>
      <c r="M25" s="121" t="n">
        <f aca="false">IF('INGRESO DE DATOS'!$J$25=1,L25/$L$25*$N$23*$O$3,0)</f>
        <v>3.65699873896595</v>
      </c>
      <c r="P25" s="232"/>
      <c r="Q25" s="217"/>
      <c r="R25" s="233" t="n">
        <f aca="false">SUM(R22:R24)</f>
        <v>2.45901639344262</v>
      </c>
      <c r="S25" s="217"/>
    </row>
    <row r="26" customFormat="false" ht="13.5" hidden="false" customHeight="true" outlineLevel="0" collapsed="false">
      <c r="A26" s="225" t="str">
        <f aca="false">'ENTRADA DE PARAMETROS'!A64</f>
        <v>3       No tiene referencias</v>
      </c>
      <c r="B26" s="226" t="n">
        <f aca="false">'ENTRADA DE PARAMETROS'!B64</f>
        <v>0.2</v>
      </c>
      <c r="C26" s="121" t="n">
        <f aca="false">IF('INGRESO DE DATOS'!$B$21=3,FORMULAS!B26/$B$24*($D$17*$E$3)/2,0)</f>
        <v>0</v>
      </c>
      <c r="F26" s="234" t="str">
        <f aca="false">'ENTRADA DE PARAMETROS'!D64</f>
        <v>2.4  Dependencia de proveedores</v>
      </c>
      <c r="I26" s="221" t="n">
        <f aca="false">'DETALLE DE CALIFICACIONES'!C29</f>
        <v>0.114130434782609</v>
      </c>
      <c r="J26" s="222" t="n">
        <f aca="false">H31</f>
        <v>1.47340520313614</v>
      </c>
      <c r="K26" s="229" t="str">
        <f aca="false">'ENTRADA DE PARAMETROS'!G64</f>
        <v>2    Entre 30% al 40%</v>
      </c>
      <c r="L26" s="226" t="n">
        <f aca="false">'ENTRADA DE PARAMETROS'!H64</f>
        <v>3</v>
      </c>
      <c r="M26" s="121" t="n">
        <f aca="false">IF('INGRESO DE DATOS'!$J$25=2,L26/$L$25*$N$23*$O$3,0)</f>
        <v>0</v>
      </c>
      <c r="P26" s="109" t="str">
        <f aca="false">'ENTRADA DE PARAMETROS'!J64</f>
        <v>Servicios Básicos:</v>
      </c>
      <c r="Q26" s="110"/>
      <c r="R26" s="110"/>
      <c r="S26" s="230" t="n">
        <f aca="false">'DETALLE DE CALIFICACIONES'!C54</f>
        <v>0.160714285714286</v>
      </c>
      <c r="T26" s="121" t="n">
        <f aca="false">IF($R$1="R",R30,IF($R$1="M",(R30*0.59),0))</f>
        <v>0</v>
      </c>
    </row>
    <row r="27" customFormat="false" ht="13.5" hidden="false" customHeight="true" outlineLevel="0" collapsed="false">
      <c r="A27" s="232"/>
      <c r="C27" s="130" t="n">
        <f aca="false">SUM(C19:C26)</f>
        <v>2.43432747382975</v>
      </c>
      <c r="F27" s="227" t="str">
        <f aca="false">'ENTRADA DE PARAMETROS'!D65</f>
        <v>1    Sin importancia/facilidad para proveerse</v>
      </c>
      <c r="G27" s="228" t="n">
        <f aca="false">'ENTRADA DE PARAMETROS'!E65</f>
        <v>1</v>
      </c>
      <c r="H27" s="121" t="n">
        <f aca="false">IF('INGRESO DE DATOS'!$F$28=1,FORMULAS!G27/FORMULAS!$G$27*FORMULAS!$I$26*FORMULAS!$J$3,0)</f>
        <v>0</v>
      </c>
      <c r="K27" s="229" t="str">
        <f aca="false">'ENTRADA DE PARAMETROS'!G65</f>
        <v>3    Entre 40% y 50%</v>
      </c>
      <c r="L27" s="226" t="n">
        <f aca="false">'ENTRADA DE PARAMETROS'!H65</f>
        <v>2</v>
      </c>
      <c r="M27" s="121" t="n">
        <f aca="false">IF('INGRESO DE DATOS'!$J$25=3,L27/$L$25*$N$23*$O$3,0)</f>
        <v>0</v>
      </c>
      <c r="P27" s="227" t="str">
        <f aca="false">'ENTRADA DE PARAMETROS'!J65</f>
        <v>1    Todos</v>
      </c>
      <c r="Q27" s="226" t="n">
        <f aca="false">'ENTRADA DE PARAMETROS'!K65</f>
        <v>4</v>
      </c>
      <c r="R27" s="121" t="n">
        <f aca="false">IF('INGRESO DE DATOS'!$N$23=1,Q27/$Q$27*$S$26*$T$3,0)</f>
        <v>2.76639344262295</v>
      </c>
      <c r="S27" s="121"/>
    </row>
    <row r="28" customFormat="false" ht="13.5" hidden="false" customHeight="true" outlineLevel="0" collapsed="false">
      <c r="A28" s="234" t="str">
        <f aca="false">'ENTRADA DE PARAMETROS'!A66</f>
        <v>1.4  Calificación Interna</v>
      </c>
      <c r="D28" s="221" t="n">
        <f aca="false">'DETALLE DE CALIFICACIONES'!C17</f>
        <v>0.174698795180723</v>
      </c>
      <c r="E28" s="222" t="n">
        <f aca="false">C36</f>
        <v>4.15267627888604</v>
      </c>
      <c r="F28" s="227" t="str">
        <f aca="false">'ENTRADA DE PARAMETROS'!D66</f>
        <v>2    Más de 3 proveedores</v>
      </c>
      <c r="G28" s="228" t="n">
        <f aca="false">'ENTRADA DE PARAMETROS'!E66</f>
        <v>0.75</v>
      </c>
      <c r="H28" s="121" t="n">
        <f aca="false">IF('INGRESO DE DATOS'!$F$28=2,FORMULAS!G28/FORMULAS!$G$27*FORMULAS!$I$26*FORMULAS!$J$3,0)</f>
        <v>1.47340520313614</v>
      </c>
      <c r="I28" s="221"/>
      <c r="J28" s="222"/>
      <c r="K28" s="229" t="str">
        <f aca="false">'ENTRADA DE PARAMETROS'!G66</f>
        <v>4    Más del 50%</v>
      </c>
      <c r="L28" s="226" t="n">
        <f aca="false">'ENTRADA DE PARAMETROS'!H66</f>
        <v>-20</v>
      </c>
      <c r="M28" s="121" t="n">
        <f aca="false">IF('INGRESO DE DATOS'!$J$25=4,L28/$L$25*$N$23*$O$3,0)</f>
        <v>0</v>
      </c>
      <c r="P28" s="227" t="str">
        <f aca="false">'ENTRADA DE PARAMETROS'!J66</f>
        <v>2    Algunos</v>
      </c>
      <c r="Q28" s="226" t="n">
        <f aca="false">'ENTRADA DE PARAMETROS'!K66</f>
        <v>3</v>
      </c>
      <c r="R28" s="121" t="n">
        <f aca="false">IF('INGRESO DE DATOS'!$N$23=2,Q28/$Q$27*$S$26*$T$3,0)</f>
        <v>0</v>
      </c>
      <c r="S28" s="121"/>
    </row>
    <row r="29" customFormat="false" ht="13.5" hidden="false" customHeight="true" outlineLevel="0" collapsed="false">
      <c r="A29" s="234" t="str">
        <f aca="false">'ENTRADA DE PARAMETROS'!A67</f>
        <v>Referencias bancarias </v>
      </c>
      <c r="F29" s="227" t="str">
        <f aca="false">'ENTRADA DE PARAMETROS'!D67</f>
        <v>3    Entre 2 a 3 proveedores</v>
      </c>
      <c r="G29" s="228" t="n">
        <f aca="false">'ENTRADA DE PARAMETROS'!E67</f>
        <v>0.5</v>
      </c>
      <c r="H29" s="121" t="n">
        <f aca="false">IF('INGRESO DE DATOS'!$F$28=3,FORMULAS!G29/FORMULAS!$G$27*FORMULAS!$I$26*FORMULAS!$J$3,0)</f>
        <v>0</v>
      </c>
      <c r="K29" s="242"/>
      <c r="M29" s="130" t="n">
        <f aca="false">SUM(M25:M28)</f>
        <v>3.65699873896595</v>
      </c>
      <c r="P29" s="227" t="str">
        <f aca="false">'ENTRADA DE PARAMETROS'!J67</f>
        <v>3    Ninguno</v>
      </c>
      <c r="Q29" s="226" t="n">
        <f aca="false">'ENTRADA DE PARAMETROS'!K67</f>
        <v>0</v>
      </c>
      <c r="R29" s="121" t="n">
        <f aca="false">IF('INGRESO DE DATOS'!$N$23=3,Q29/$Q$27*$S$26*$T$3,0)</f>
        <v>0</v>
      </c>
      <c r="S29" s="121"/>
    </row>
    <row r="30" customFormat="false" ht="13.5" hidden="false" customHeight="true" outlineLevel="0" collapsed="false">
      <c r="A30" s="225" t="str">
        <f aca="false">'ENTRADA DE PARAMETROS'!A68</f>
        <v>1     Cliente A</v>
      </c>
      <c r="B30" s="226" t="n">
        <f aca="false">'ENTRADA DE PARAMETROS'!B68</f>
        <v>6</v>
      </c>
      <c r="C30" s="121" t="n">
        <f aca="false">IF('INGRESO DE DATOS'!$B$26=1,FORMULAS!B30/$B$30*$D$28*$E$3,0)</f>
        <v>4.15267627888604</v>
      </c>
      <c r="F30" s="227" t="str">
        <f aca="false">'ENTRADA DE PARAMETROS'!D68</f>
        <v>4    Un  proveedor, alta dependencia</v>
      </c>
      <c r="G30" s="228" t="n">
        <f aca="false">'ENTRADA DE PARAMETROS'!E68</f>
        <v>0</v>
      </c>
      <c r="H30" s="121" t="n">
        <f aca="false">IF('INGRESO DE DATOS'!$F$28=4,FORMULAS!G30/FORMULAS!$G$27*FORMULAS!$I$26*FORMULAS!$J$3,0)</f>
        <v>0</v>
      </c>
      <c r="K30" s="235" t="str">
        <f aca="false">'ENTRADA DE PARAMETROS'!G68</f>
        <v>3.5 Medios de producción</v>
      </c>
      <c r="N30" s="224" t="n">
        <f aca="false">'DETALLE DE CALIFICACIONES'!C42</f>
        <v>0.118343195266272</v>
      </c>
      <c r="O30" s="222" t="n">
        <f aca="false">M34</f>
        <v>2.81307595305073</v>
      </c>
      <c r="P30" s="232"/>
      <c r="Q30" s="217"/>
      <c r="R30" s="233" t="n">
        <f aca="false">SUM(R27:R29)</f>
        <v>2.76639344262295</v>
      </c>
      <c r="S30" s="217"/>
    </row>
    <row r="31" customFormat="false" ht="13.5" hidden="false" customHeight="true" outlineLevel="0" collapsed="false">
      <c r="A31" s="225" t="str">
        <f aca="false">'ENTRADA DE PARAMETROS'!A69</f>
        <v>2     Cliente B</v>
      </c>
      <c r="B31" s="226" t="n">
        <f aca="false">'ENTRADA DE PARAMETROS'!B69</f>
        <v>4</v>
      </c>
      <c r="C31" s="121" t="n">
        <f aca="false">IF('INGRESO DE DATOS'!$B$26=2,FORMULAS!B31/$B$30*$D$28*$E$3,0)</f>
        <v>0</v>
      </c>
      <c r="F31" s="232"/>
      <c r="H31" s="130" t="n">
        <f aca="false">SUM(H27:H30)</f>
        <v>1.47340520313614</v>
      </c>
      <c r="K31" s="229" t="str">
        <f aca="false">'ENTRADA DE PARAMETROS'!G69</f>
        <v>1    Propietario del negocio o terreno</v>
      </c>
      <c r="L31" s="226" t="n">
        <f aca="false">'ENTRADA DE PARAMETROS'!H69</f>
        <v>2.5</v>
      </c>
      <c r="M31" s="121" t="n">
        <f aca="false">IF('INGRESO DE DATOS'!$J$31=1,L31/$L$31*$N$30*$O$3,0)</f>
        <v>2.81307595305073</v>
      </c>
      <c r="P31" s="109" t="str">
        <f aca="false">'ENTRADA DE PARAMETROS'!J69</f>
        <v>Avalúo:</v>
      </c>
      <c r="Q31" s="110"/>
      <c r="R31" s="110"/>
      <c r="S31" s="230" t="n">
        <f aca="false">'DETALLE DE CALIFICACIONES'!C55</f>
        <v>0.178571428571429</v>
      </c>
      <c r="T31" s="121" t="n">
        <f aca="false">IF($R$1="R",R35,IF($R$1="M",(R35*0.59),0))</f>
        <v>0</v>
      </c>
    </row>
    <row r="32" customFormat="false" ht="13.5" hidden="false" customHeight="true" outlineLevel="0" collapsed="false">
      <c r="A32" s="225" t="str">
        <f aca="false">'ENTRADA DE PARAMETROS'!A70</f>
        <v>3     Cliente C</v>
      </c>
      <c r="B32" s="226" t="n">
        <f aca="false">'ENTRADA DE PARAMETROS'!B70</f>
        <v>-100</v>
      </c>
      <c r="C32" s="121" t="n">
        <f aca="false">IF('INGRESO DE DATOS'!$B$26=3,FORMULAS!B32/$B$30*$D$28*$E$3,0)</f>
        <v>0</v>
      </c>
      <c r="F32" s="234" t="str">
        <f aca="false">'ENTRADA DE PARAMETROS'!D70</f>
        <v>2.5  Dependencia del personal</v>
      </c>
      <c r="I32" s="221" t="n">
        <f aca="false">'DETALLE DE CALIFICACIONES'!C30</f>
        <v>0.108695652173913</v>
      </c>
      <c r="J32" s="222" t="n">
        <f aca="false">H36</f>
        <v>1.87099073414113</v>
      </c>
      <c r="K32" s="229" t="str">
        <f aca="false">'ENTRADA DE PARAMETROS'!G70</f>
        <v>2    En sociedad (al partir)</v>
      </c>
      <c r="L32" s="226" t="n">
        <f aca="false">'ENTRADA DE PARAMETROS'!H70</f>
        <v>2</v>
      </c>
      <c r="M32" s="121" t="n">
        <f aca="false">IF('INGRESO DE DATOS'!$J$31=2,L32/$L$31*$N$30*$O$3,0)</f>
        <v>0</v>
      </c>
      <c r="P32" s="227" t="str">
        <f aca="false">'ENTRADA DE PARAMETROS'!J70</f>
        <v>1    Más del 200%</v>
      </c>
      <c r="Q32" s="226" t="n">
        <f aca="false">'ENTRADA DE PARAMETROS'!K70</f>
        <v>4</v>
      </c>
      <c r="R32" s="121" t="n">
        <f aca="false">IF('INGRESO DE DATOS'!$N$27=1,Q32/$Q$32*$S$31*$T$3,0)</f>
        <v>3.07377049180328</v>
      </c>
      <c r="S32" s="121"/>
    </row>
    <row r="33" customFormat="false" ht="13.5" hidden="false" customHeight="true" outlineLevel="0" collapsed="false">
      <c r="A33" s="227" t="str">
        <f aca="false">'ENTRADA DE PARAMETROS'!A71</f>
        <v>4     Clente  D o E</v>
      </c>
      <c r="B33" s="226" t="n">
        <f aca="false">'ENTRADA DE PARAMETROS'!B71</f>
        <v>-100</v>
      </c>
      <c r="C33" s="121" t="n">
        <f aca="false">IF('INGRESO DE DATOS'!$B$26=4,FORMULAS!B33/$B$30*$D$28*$E$3,0)</f>
        <v>0</v>
      </c>
      <c r="F33" s="227" t="str">
        <f aca="false">'ENTRADA DE PARAMETROS'!D71</f>
        <v>1    Familiar</v>
      </c>
      <c r="G33" s="228" t="n">
        <f aca="false">'ENTRADA DE PARAMETROS'!E71</f>
        <v>0.5</v>
      </c>
      <c r="H33" s="121" t="n">
        <f aca="false">IF('INGRESO DE DATOS'!$F$33=1,FORMULAS!G33/FORMULAS!$G$33*FORMULAS!$I$32*FORMULAS!$J$3,0)</f>
        <v>1.87099073414113</v>
      </c>
      <c r="K33" s="229" t="str">
        <f aca="false">'ENTRADA DE PARAMETROS'!G71</f>
        <v>3    Negocio o terreno arrendado</v>
      </c>
      <c r="L33" s="226" t="n">
        <f aca="false">'ENTRADA DE PARAMETROS'!H71</f>
        <v>1.5</v>
      </c>
      <c r="M33" s="121" t="n">
        <f aca="false">IF('INGRESO DE DATOS'!$J$31=3,L33/$L$31*$N$30*$O$3,0)</f>
        <v>0</v>
      </c>
      <c r="P33" s="227" t="str">
        <f aca="false">'ENTRADA DE PARAMETROS'!J71</f>
        <v>2    El 200%</v>
      </c>
      <c r="Q33" s="226" t="n">
        <f aca="false">'ENTRADA DE PARAMETROS'!K71</f>
        <v>2</v>
      </c>
      <c r="R33" s="121" t="n">
        <f aca="false">IF('INGRESO DE DATOS'!$N$27=2,Q33/$Q$32*$S$31*$T$3,0)</f>
        <v>0</v>
      </c>
      <c r="S33" s="121"/>
    </row>
    <row r="34" customFormat="false" ht="13.5" hidden="false" customHeight="true" outlineLevel="0" collapsed="false">
      <c r="A34" s="227" t="str">
        <f aca="false">'ENTRADA DE PARAMETROS'!A72</f>
        <v>5     Cuentas cerradas</v>
      </c>
      <c r="B34" s="226" t="n">
        <f aca="false">'ENTRADA DE PARAMETROS'!B72</f>
        <v>-20</v>
      </c>
      <c r="C34" s="121" t="n">
        <f aca="false">IF('INGRESO DE DATOS'!$B$26=5,FORMULAS!B34/$B$30*$D$28*$E$3,0)</f>
        <v>0</v>
      </c>
      <c r="F34" s="227" t="str">
        <f aca="false">'ENTRADA DE PARAMETROS'!D72</f>
        <v>2    Familiar y trabajadores</v>
      </c>
      <c r="G34" s="228" t="n">
        <f aca="false">'ENTRADA DE PARAMETROS'!E72</f>
        <v>0.25</v>
      </c>
      <c r="H34" s="121" t="n">
        <f aca="false">IF('INGRESO DE DATOS'!$F$33=2,FORMULAS!G34/FORMULAS!$G$33*FORMULAS!$I$32*FORMULAS!$J$3,0)</f>
        <v>0</v>
      </c>
      <c r="K34" s="242"/>
      <c r="M34" s="130" t="n">
        <f aca="false">SUM(M31:M33)</f>
        <v>2.81307595305073</v>
      </c>
      <c r="P34" s="227" t="str">
        <f aca="false">'ENTRADA DE PARAMETROS'!J72</f>
        <v>3    Menos del 200%</v>
      </c>
      <c r="Q34" s="226" t="n">
        <f aca="false">'ENTRADA DE PARAMETROS'!K72</f>
        <v>-15</v>
      </c>
      <c r="R34" s="121" t="n">
        <f aca="false">IF('INGRESO DE DATOS'!$N$27=3,Q34/$Q$32*$S$31*$T$3,0)</f>
        <v>0</v>
      </c>
      <c r="S34" s="121"/>
    </row>
    <row r="35" customFormat="false" ht="13.5" hidden="false" customHeight="true" outlineLevel="0" collapsed="false">
      <c r="A35" s="227" t="str">
        <f aca="false">'ENTRADA DE PARAMETROS'!A73</f>
        <v>6     No tienereferencias</v>
      </c>
      <c r="B35" s="226" t="n">
        <f aca="false">'ENTRADA DE PARAMETROS'!B73</f>
        <v>1</v>
      </c>
      <c r="C35" s="121" t="n">
        <f aca="false">IF('INGRESO DE DATOS'!$B$26=6,FORMULAS!B35/$B$30*$D$28*$E$3,0)</f>
        <v>0</v>
      </c>
      <c r="F35" s="227" t="str">
        <f aca="false">'ENTRADA DE PARAMETROS'!D73</f>
        <v>3    Sólo trabajadores</v>
      </c>
      <c r="G35" s="228" t="n">
        <f aca="false">'ENTRADA DE PARAMETROS'!E73</f>
        <v>0</v>
      </c>
      <c r="H35" s="121" t="n">
        <f aca="false">IF('INGRESO DE DATOS'!$F$33=3,FORMULAS!G35/FORMULAS!$G$33*FORMULAS!$I$32*FORMULAS!$J$3,0)</f>
        <v>0</v>
      </c>
      <c r="K35" s="246" t="str">
        <f aca="false">'ENTRADA DE PARAMETROS'!G73</f>
        <v>3.6 Razon Corriente</v>
      </c>
      <c r="N35" s="224" t="n">
        <f aca="false">'DETALLE DE CALIFICACIONES'!C43</f>
        <v>0.14792899408284</v>
      </c>
      <c r="O35" s="222" t="n">
        <f aca="false">M40</f>
        <v>2.63725870598506</v>
      </c>
      <c r="P35" s="232"/>
      <c r="R35" s="247" t="n">
        <f aca="false">SUM(R32:R34)</f>
        <v>3.07377049180328</v>
      </c>
    </row>
    <row r="36" customFormat="false" ht="13.5" hidden="false" customHeight="true" outlineLevel="0" collapsed="false">
      <c r="A36" s="232"/>
      <c r="C36" s="241" t="n">
        <f aca="false">SUM(C30:C35)</f>
        <v>4.15267627888604</v>
      </c>
      <c r="F36" s="232"/>
      <c r="H36" s="130" t="n">
        <f aca="false">SUM(H33:H35)</f>
        <v>1.87099073414113</v>
      </c>
      <c r="K36" s="229" t="str">
        <f aca="false">'ENTRADA DE PARAMETROS'!G74</f>
        <v>1    Màs del 200%</v>
      </c>
      <c r="L36" s="226" t="n">
        <f aca="false">'ENTRADA DE PARAMETROS'!H74</f>
        <v>4</v>
      </c>
      <c r="M36" s="121" t="n">
        <f aca="false">IF('INGRESO DE DATOS'!$J$35=1,L36/$L$36*$N$35*$O$3,0)</f>
        <v>0</v>
      </c>
      <c r="P36" s="243" t="s">
        <v>470</v>
      </c>
      <c r="S36" s="248" t="n">
        <f aca="false">SUM(S5:S35)</f>
        <v>1</v>
      </c>
      <c r="T36" s="249" t="n">
        <f aca="false">SUM(T5:T35)</f>
        <v>0</v>
      </c>
    </row>
    <row r="37" customFormat="false" ht="13.5" hidden="false" customHeight="true" outlineLevel="0" collapsed="false">
      <c r="A37" s="234" t="str">
        <f aca="false">'ENTRADA DE PARAMETROS'!A75</f>
        <v>1.5 Arraigo Residencial</v>
      </c>
      <c r="D37" s="221" t="n">
        <f aca="false">'DETALLE DE CALIFICACIONES'!C18</f>
        <v>0.126506024096386</v>
      </c>
      <c r="E37" s="222" t="n">
        <f aca="false">C44</f>
        <v>1.2028441635394</v>
      </c>
      <c r="F37" s="234" t="str">
        <f aca="false">'ENTRADA DE PARAMETROS'!D75</f>
        <v>2.6  Dependencia de la actividad del socio (RURAL)</v>
      </c>
      <c r="I37" s="221" t="n">
        <f aca="false">'DETALLE DE CALIFICACIONES'!C31</f>
        <v>0.130434782608696</v>
      </c>
      <c r="J37" s="222" t="n">
        <f aca="false">IF($G$1="R",H40,IF($G$1="U",H44,0))</f>
        <v>2.24518888096935</v>
      </c>
      <c r="K37" s="229" t="str">
        <f aca="false">'ENTRADA DE PARAMETROS'!G75</f>
        <v>2    Del 200% al  175%</v>
      </c>
      <c r="L37" s="226" t="n">
        <f aca="false">'ENTRADA DE PARAMETROS'!H75</f>
        <v>3</v>
      </c>
      <c r="M37" s="121" t="n">
        <f aca="false">IF('INGRESO DE DATOS'!$J$35=2,L37/$L$36*$N$35*$O$3,0)</f>
        <v>2.63725870598506</v>
      </c>
      <c r="P37" s="234" t="str">
        <f aca="false">'ENTRADA DE PARAMETROS'!J75</f>
        <v>4.2 Garantia Personal</v>
      </c>
    </row>
    <row r="38" customFormat="false" ht="13.5" hidden="false" customHeight="true" outlineLevel="0" collapsed="false">
      <c r="A38" s="227" t="str">
        <f aca="false">'ENTRADA DE PARAMETROS'!A76</f>
        <v>1    Propio</v>
      </c>
      <c r="B38" s="226" t="n">
        <f aca="false">'ENTRADA DE PARAMETROS'!B76</f>
        <v>5</v>
      </c>
      <c r="C38" s="121" t="n">
        <f aca="false">IF('INGRESO DE DATOS'!$B$33=1,FORMULAS!B38/$B$38*$D$37*$E$3,0)</f>
        <v>0</v>
      </c>
      <c r="F38" s="227" t="str">
        <f aca="false">'ENTRADA DE PARAMETROS'!D76</f>
        <v>1    Dos actividades o más</v>
      </c>
      <c r="G38" s="228" t="n">
        <f aca="false">'ENTRADA DE PARAMETROS'!E76</f>
        <v>3.5</v>
      </c>
      <c r="H38" s="121" t="n">
        <f aca="false">IF('INGRESO DE DATOS'!$F$37=1,FORMULAS!G38/FORMULAS!$G$38*FORMULAS!$I$37*FORMULAS!$J$3,0)</f>
        <v>2.24518888096935</v>
      </c>
      <c r="K38" s="229" t="str">
        <f aca="false">'ENTRADA DE PARAMETROS'!G76</f>
        <v>3    Del 175% al 150%</v>
      </c>
      <c r="L38" s="226" t="n">
        <f aca="false">'ENTRADA DE PARAMETROS'!H76</f>
        <v>2</v>
      </c>
      <c r="M38" s="121" t="n">
        <f aca="false">IF('INGRESO DE DATOS'!$J$35=3,L38/$L$36*$N$35*$O$3,0)</f>
        <v>0</v>
      </c>
      <c r="P38" s="109" t="str">
        <f aca="false">'ENTRADA DE PARAMETROS'!J76</f>
        <v>Historial Credicitio:</v>
      </c>
      <c r="S38" s="221" t="n">
        <f aca="false">'DETALLE DE CALIFICACIONES'!C60</f>
        <v>0.256410256410256</v>
      </c>
      <c r="T38" s="121" t="n">
        <f aca="false">IF($R$1="P",R43,IF($R$1="M",(R43*0.41),0))</f>
        <v>4.41361916771753</v>
      </c>
    </row>
    <row r="39" customFormat="false" ht="13.5" hidden="false" customHeight="true" outlineLevel="0" collapsed="false">
      <c r="A39" s="227" t="str">
        <f aca="false">'ENTRADA DE PARAMETROS'!A77</f>
        <v>2    Más de 3 años</v>
      </c>
      <c r="B39" s="226" t="n">
        <f aca="false">'ENTRADA DE PARAMETROS'!B77</f>
        <v>4</v>
      </c>
      <c r="C39" s="121" t="n">
        <f aca="false">IF('INGRESO DE DATOS'!$B$33=2,FORMULAS!B39/$B$38*$D$37*$E$3,0)</f>
        <v>0</v>
      </c>
      <c r="F39" s="227" t="str">
        <f aca="false">'ENTRADA DE PARAMETROS'!D77</f>
        <v>2    Dependencia de 1 sola actividad</v>
      </c>
      <c r="G39" s="228" t="n">
        <f aca="false">'ENTRADA DE PARAMETROS'!E77</f>
        <v>1.5</v>
      </c>
      <c r="H39" s="121" t="n">
        <f aca="false">IF('INGRESO DE DATOS'!$F$37=2,FORMULAS!G39/FORMULAS!$G$38*FORMULAS!$I$37*FORMULAS!$J$3,0)</f>
        <v>0</v>
      </c>
      <c r="K39" s="229" t="str">
        <f aca="false">'ENTRADA DE PARAMETROS'!G77</f>
        <v>4    Menor a 150%</v>
      </c>
      <c r="L39" s="226" t="n">
        <f aca="false">'ENTRADA DE PARAMETROS'!H77</f>
        <v>0</v>
      </c>
      <c r="M39" s="121" t="n">
        <f aca="false">IF('INGRESO DE DATOS'!$J$35=4,L39/$L$36*$N$35*$O$3,0)</f>
        <v>0</v>
      </c>
      <c r="P39" s="227" t="str">
        <f aca="false">'ENTRADA DE PARAMETROS'!J77</f>
        <v>1    Pagos puntuales.  Primer crédito</v>
      </c>
      <c r="Q39" s="226" t="n">
        <f aca="false">'ENTRADA DE PARAMETROS'!K77</f>
        <v>4</v>
      </c>
      <c r="R39" s="121" t="n">
        <f aca="false">IF('INGRESO DE DATOS'!$N$34=1,Q39/$Q$39*$S$38*$T$3,0)</f>
        <v>4.41361916771753</v>
      </c>
      <c r="S39" s="121"/>
    </row>
    <row r="40" customFormat="false" ht="13.5" hidden="false" customHeight="true" outlineLevel="0" collapsed="false">
      <c r="A40" s="227" t="str">
        <f aca="false">'ENTRADA DE PARAMETROS'!A78</f>
        <v>3    Entre 2 y 3 años</v>
      </c>
      <c r="B40" s="226" t="n">
        <f aca="false">'ENTRADA DE PARAMETROS'!B78</f>
        <v>3</v>
      </c>
      <c r="C40" s="121" t="n">
        <f aca="false">IF('INGRESO DE DATOS'!$B$33=3,FORMULAS!B40/$B$38*$D$37*$E$3,0)</f>
        <v>0</v>
      </c>
      <c r="F40" s="227"/>
      <c r="H40" s="130" t="n">
        <f aca="false">SUM(H38:H39)</f>
        <v>2.24518888096935</v>
      </c>
      <c r="K40" s="242"/>
      <c r="M40" s="130" t="n">
        <f aca="false">SUM(M36:M39)</f>
        <v>2.63725870598506</v>
      </c>
      <c r="P40" s="227" t="str">
        <f aca="false">'ENTRADA DE PARAMETROS'!J78</f>
        <v>2    Atrasado</v>
      </c>
      <c r="Q40" s="226" t="n">
        <f aca="false">'ENTRADA DE PARAMETROS'!K78</f>
        <v>1</v>
      </c>
      <c r="R40" s="121" t="n">
        <f aca="false">IF('INGRESO DE DATOS'!$N$34=2,Q40/$Q$39*$S$38*$T$3,0)</f>
        <v>0</v>
      </c>
      <c r="S40" s="121"/>
    </row>
    <row r="41" customFormat="false" ht="13.5" hidden="false" customHeight="true" outlineLevel="0" collapsed="false">
      <c r="A41" s="227" t="str">
        <f aca="false">'ENTRADA DE PARAMETROS'!A79</f>
        <v>4    Entre 1 y 2 años</v>
      </c>
      <c r="B41" s="226" t="n">
        <f aca="false">'ENTRADA DE PARAMETROS'!B79</f>
        <v>2</v>
      </c>
      <c r="C41" s="121" t="n">
        <f aca="false">IF('INGRESO DE DATOS'!$B$33=4,FORMULAS!B41/$B$38*$D$37*$E$3,0)</f>
        <v>1.2028441635394</v>
      </c>
      <c r="F41" s="234" t="str">
        <f aca="false">'ENTRADA DE PARAMETROS'!D79</f>
        <v>2.6  Dependencia de la actividad del socio (URBANO)</v>
      </c>
      <c r="K41" s="246" t="str">
        <f aca="false">'ENTRADA DE PARAMETROS'!G79</f>
        <v>3.7 Reprocidad de depòsitos</v>
      </c>
      <c r="N41" s="224" t="n">
        <f aca="false">'DETALLE DE CALIFICACIONES'!C44</f>
        <v>0.112426035502959</v>
      </c>
      <c r="O41" s="222" t="n">
        <f aca="false">M45</f>
        <v>1.3362110776991</v>
      </c>
      <c r="P41" s="227" t="str">
        <f aca="false">'ENTRADA DE PARAMETROS'!J79</f>
        <v>3    Moroso</v>
      </c>
      <c r="Q41" s="226" t="n">
        <f aca="false">'ENTRADA DE PARAMETROS'!K79</f>
        <v>0</v>
      </c>
      <c r="R41" s="121" t="n">
        <f aca="false">IF('INGRESO DE DATOS'!$N$34=3,Q41/$Q$39*$S$38*$T$3,0)</f>
        <v>0</v>
      </c>
      <c r="S41" s="121"/>
    </row>
    <row r="42" customFormat="false" ht="13.5" hidden="false" customHeight="true" outlineLevel="0" collapsed="false">
      <c r="A42" s="227" t="str">
        <f aca="false">'ENTRADA DE PARAMETROS'!A80</f>
        <v>5    Menos de 1 año</v>
      </c>
      <c r="B42" s="226" t="n">
        <f aca="false">'ENTRADA DE PARAMETROS'!B80</f>
        <v>-5</v>
      </c>
      <c r="C42" s="121" t="n">
        <f aca="false">IF('INGRESO DE DATOS'!$B$33=5,FORMULAS!B42/$B$38*$D$37*$E$3,0)</f>
        <v>0</v>
      </c>
      <c r="F42" s="227" t="str">
        <f aca="false">'ENTRADA DE PARAMETROS'!D80</f>
        <v>1    Dependencia de 1 sola actividad</v>
      </c>
      <c r="G42" s="228" t="n">
        <f aca="false">'ENTRADA DE PARAMETROS'!E80</f>
        <v>3.5</v>
      </c>
      <c r="H42" s="121" t="n">
        <f aca="false">IF('INGRESO DE DATOS'!$F$41=1,FORMULAS!G42/FORMULAS!$G$42*FORMULAS!$I$37*FORMULAS!$J$3,0)</f>
        <v>2.24518888096935</v>
      </c>
      <c r="K42" s="229" t="str">
        <f aca="false">'ENTRADA DE PARAMETROS'!G80</f>
        <v>1    Favorable </v>
      </c>
      <c r="L42" s="226" t="n">
        <f aca="false">'ENTRADA DE PARAMETROS'!H80</f>
        <v>4</v>
      </c>
      <c r="M42" s="121" t="n">
        <f aca="false">IF('INGRESO DE DATOS'!$J$40=1,L42/$L$42*$N$41*$O$3,0)</f>
        <v>0</v>
      </c>
      <c r="P42" s="227" t="str">
        <f aca="false">'ENTRADA DE PARAMETROS'!J80</f>
        <v>4    Juicio o castigado</v>
      </c>
      <c r="Q42" s="226" t="n">
        <f aca="false">'ENTRADA DE PARAMETROS'!K80</f>
        <v>-20</v>
      </c>
      <c r="R42" s="121" t="n">
        <f aca="false">IF('INGRESO DE DATOS'!$N$34=4,Q42/$Q$39*$S$38*$T$3,0)</f>
        <v>0</v>
      </c>
      <c r="S42" s="121"/>
    </row>
    <row r="43" customFormat="false" ht="13.5" hidden="false" customHeight="true" outlineLevel="0" collapsed="false">
      <c r="A43" s="227" t="str">
        <f aca="false">'ENTRADA DE PARAMETROS'!A81</f>
        <v>6    No residente</v>
      </c>
      <c r="B43" s="226" t="n">
        <f aca="false">'ENTRADA DE PARAMETROS'!B81</f>
        <v>-15</v>
      </c>
      <c r="C43" s="121" t="n">
        <f aca="false">IF('INGRESO DE DATOS'!$B$33=6,FORMULAS!B43/$B$38*$D$37*$E$3,0)</f>
        <v>0</v>
      </c>
      <c r="F43" s="227" t="str">
        <f aca="false">'ENTRADA DE PARAMETROS'!D81</f>
        <v>2    Dos actividades o más</v>
      </c>
      <c r="G43" s="228" t="n">
        <f aca="false">'ENTRADA DE PARAMETROS'!E81</f>
        <v>1.5</v>
      </c>
      <c r="H43" s="121" t="n">
        <f aca="false">IF('INGRESO DE DATOS'!$F$41=2,FORMULAS!G43/FORMULAS!$G$42*FORMULAS!$I$37*FORMULAS!$J$3,0)</f>
        <v>0</v>
      </c>
      <c r="K43" s="229" t="str">
        <f aca="false">'ENTRADA DE PARAMETROS'!G81</f>
        <v>2    Regular</v>
      </c>
      <c r="L43" s="226" t="n">
        <f aca="false">'ENTRADA DE PARAMETROS'!H81</f>
        <v>2</v>
      </c>
      <c r="M43" s="121" t="n">
        <f aca="false">IF('INGRESO DE DATOS'!$J$40=2,L43/$L$42*$N$41*$O$3,0)</f>
        <v>1.3362110776991</v>
      </c>
      <c r="P43" s="232"/>
      <c r="R43" s="250" t="n">
        <f aca="false">SUM(R39:R42)</f>
        <v>4.41361916771753</v>
      </c>
    </row>
    <row r="44" customFormat="false" ht="13.5" hidden="false" customHeight="true" outlineLevel="0" collapsed="false">
      <c r="A44" s="232"/>
      <c r="C44" s="241" t="n">
        <f aca="false">SUM(C38:C43)</f>
        <v>1.2028441635394</v>
      </c>
      <c r="F44" s="227"/>
      <c r="H44" s="130" t="n">
        <f aca="false">SUM(H42:H43)</f>
        <v>2.24518888096935</v>
      </c>
      <c r="K44" s="251" t="str">
        <f aca="false">'ENTRADA DE PARAMETROS'!G82</f>
        <v>3    Desfavorable</v>
      </c>
      <c r="L44" s="226" t="n">
        <f aca="false">'ENTRADA DE PARAMETROS'!H82</f>
        <v>0</v>
      </c>
      <c r="M44" s="121" t="n">
        <f aca="false">IF('INGRESO DE DATOS'!$J$40=3,L44/$L$42*$N$41*$O$3,0)</f>
        <v>0</v>
      </c>
      <c r="P44" s="109" t="str">
        <f aca="false">'ENTRADA DE PARAMETROS'!J82</f>
        <v>Capacidad de Pago:</v>
      </c>
      <c r="S44" s="221" t="n">
        <f aca="false">'DETALLE DE CALIFICACIONES'!C61</f>
        <v>0.256410256410256</v>
      </c>
      <c r="T44" s="121" t="n">
        <f aca="false">IF($R$1="P",R49,IF($R$1="M",(R49*0.41),0))</f>
        <v>4.41361916771753</v>
      </c>
    </row>
    <row r="45" customFormat="false" ht="13.5" hidden="false" customHeight="true" outlineLevel="0" collapsed="false">
      <c r="A45" s="234" t="str">
        <f aca="false">'ENTRADA DE PARAMETROS'!A83</f>
        <v>1.6  Estado Civil</v>
      </c>
      <c r="D45" s="221" t="n">
        <f aca="false">'DETALLE DE CALIFICACIONES'!C19</f>
        <v>0.0903614457831325</v>
      </c>
      <c r="E45" s="222" t="n">
        <f aca="false">C51</f>
        <v>1.07396800316018</v>
      </c>
      <c r="F45" s="234" t="str">
        <f aca="false">'ENTRADA DE PARAMETROS'!D83</f>
        <v>2.7 Capacidad Administrativa (Educación)</v>
      </c>
      <c r="I45" s="221" t="n">
        <f aca="false">'DETALLE DE CALIFICACIONES'!C32</f>
        <v>0.119565217391304</v>
      </c>
      <c r="J45" s="222" t="n">
        <f aca="false">H49</f>
        <v>2.05808980755524</v>
      </c>
      <c r="M45" s="130" t="n">
        <f aca="false">SUM(M42:M44)</f>
        <v>1.3362110776991</v>
      </c>
      <c r="P45" s="227" t="str">
        <f aca="false">'ENTRADA DE PARAMETROS'!J83</f>
        <v>1    Suficiente</v>
      </c>
      <c r="Q45" s="226" t="n">
        <f aca="false">'ENTRADA DE PARAMETROS'!K83</f>
        <v>4</v>
      </c>
      <c r="R45" s="121" t="n">
        <f aca="false">IF('INGRESO DE DATOS'!$N$39=1,Q45/$Q$45*$S$44*$T$3,0)</f>
        <v>4.41361916771753</v>
      </c>
      <c r="S45" s="121"/>
    </row>
    <row r="46" customFormat="false" ht="13.5" hidden="false" customHeight="true" outlineLevel="0" collapsed="false">
      <c r="A46" s="227" t="str">
        <f aca="false">'ENTRADA DE PARAMETROS'!A84</f>
        <v>1    Casado</v>
      </c>
      <c r="B46" s="226" t="n">
        <f aca="false">'ENTRADA DE PARAMETROS'!B84</f>
        <v>2</v>
      </c>
      <c r="C46" s="121" t="n">
        <f aca="false">IF('INGRESO DE DATOS'!$B$40=1,FORMULAS!B46/$B$46*$D$45*$E$3,0)</f>
        <v>0</v>
      </c>
      <c r="F46" s="252" t="str">
        <f aca="false">'ENTRADA DE PARAMETROS'!D84</f>
        <v>1    Educación Superior</v>
      </c>
      <c r="G46" s="228" t="n">
        <f aca="false">'ENTRADA DE PARAMETROS'!E84</f>
        <v>2.5</v>
      </c>
      <c r="H46" s="121" t="n">
        <f aca="false">IF('INGRESO DE DATOS'!$F$45=1,FORMULAS!G46/FORMULAS!$G$46*FORMULAS!$I$45*FORMULAS!$J$3,0)</f>
        <v>2.05808980755524</v>
      </c>
      <c r="K46" s="243" t="s">
        <v>470</v>
      </c>
      <c r="N46" s="248" t="n">
        <f aca="false">SUM(N5:N45)</f>
        <v>1</v>
      </c>
      <c r="O46" s="253" t="n">
        <f aca="false">SUM(O5:O45)</f>
        <v>18.4608109418954</v>
      </c>
      <c r="P46" s="227" t="str">
        <f aca="false">'ENTRADA DE PARAMETROS'!J84</f>
        <v>2    Buena</v>
      </c>
      <c r="Q46" s="226" t="n">
        <f aca="false">'ENTRADA DE PARAMETROS'!K84</f>
        <v>3</v>
      </c>
      <c r="R46" s="121" t="n">
        <f aca="false">IF('INGRESO DE DATOS'!$N$39=2,Q46/$Q$45*$S$44*$T$3,0)</f>
        <v>0</v>
      </c>
      <c r="S46" s="121"/>
    </row>
    <row r="47" customFormat="false" ht="13.5" hidden="false" customHeight="true" outlineLevel="0" collapsed="false">
      <c r="A47" s="227" t="str">
        <f aca="false">'ENTRADA DE PARAMETROS'!A85</f>
        <v>2    Viudo</v>
      </c>
      <c r="B47" s="226" t="n">
        <f aca="false">'ENTRADA DE PARAMETROS'!B85</f>
        <v>2</v>
      </c>
      <c r="C47" s="121" t="n">
        <f aca="false">IF('INGRESO DE DATOS'!$B$40=2,FORMULAS!B47/$B$46*$D$45*$E$3,0)</f>
        <v>0</v>
      </c>
      <c r="F47" s="252" t="str">
        <f aca="false">'ENTRADA DE PARAMETROS'!D85</f>
        <v>2    Educaciòn Secundaria</v>
      </c>
      <c r="G47" s="228" t="n">
        <f aca="false">'ENTRADA DE PARAMETROS'!E85</f>
        <v>2</v>
      </c>
      <c r="H47" s="121" t="n">
        <f aca="false">IF('INGRESO DE DATOS'!$F$45=2,FORMULAS!G47/FORMULAS!$G$46*FORMULAS!$I$45*FORMULAS!$J$3,0)</f>
        <v>0</v>
      </c>
      <c r="P47" s="227" t="str">
        <f aca="false">'ENTRADA DE PARAMETROS'!J85</f>
        <v>3    Regular</v>
      </c>
      <c r="Q47" s="226" t="n">
        <f aca="false">'ENTRADA DE PARAMETROS'!K85</f>
        <v>1</v>
      </c>
      <c r="R47" s="121" t="n">
        <f aca="false">IF('INGRESO DE DATOS'!$N$39=3,Q47/$Q$45*$S$44*$T$3,0)</f>
        <v>0</v>
      </c>
      <c r="S47" s="121"/>
    </row>
    <row r="48" customFormat="false" ht="13.5" hidden="false" customHeight="true" outlineLevel="0" collapsed="false">
      <c r="A48" s="227" t="str">
        <f aca="false">'ENTRADA DE PARAMETROS'!A86</f>
        <v>3    Soltero</v>
      </c>
      <c r="B48" s="226" t="n">
        <f aca="false">'ENTRADA DE PARAMETROS'!B86</f>
        <v>1</v>
      </c>
      <c r="C48" s="121" t="n">
        <f aca="false">IF('INGRESO DE DATOS'!$B$40=3,FORMULAS!B48/$B$46*$D$45*$E$3,0)</f>
        <v>0</v>
      </c>
      <c r="F48" s="252" t="str">
        <f aca="false">'ENTRADA DE PARAMETROS'!D86</f>
        <v>3    Educaciòn Primaria</v>
      </c>
      <c r="G48" s="228" t="n">
        <f aca="false">'ENTRADA DE PARAMETROS'!E86</f>
        <v>1.5</v>
      </c>
      <c r="H48" s="121" t="n">
        <f aca="false">IF('INGRESO DE DATOS'!$F$45=3,FORMULAS!G48/FORMULAS!$G$46*FORMULAS!$I$45*FORMULAS!$J$3,0)</f>
        <v>0</v>
      </c>
      <c r="P48" s="227" t="str">
        <f aca="false">'ENTRADA DE PARAMETROS'!J86</f>
        <v>4    Insuficiente</v>
      </c>
      <c r="Q48" s="226" t="n">
        <f aca="false">'ENTRADA DE PARAMETROS'!K86</f>
        <v>-20</v>
      </c>
      <c r="R48" s="121" t="n">
        <f aca="false">IF('INGRESO DE DATOS'!$N$39=4,Q48/$Q$45*$S$44*$T$3,0)</f>
        <v>0</v>
      </c>
      <c r="S48" s="121"/>
    </row>
    <row r="49" customFormat="false" ht="13.5" hidden="false" customHeight="true" outlineLevel="0" collapsed="false">
      <c r="A49" s="227" t="str">
        <f aca="false">'ENTRADA DE PARAMETROS'!A87</f>
        <v>4    Divorciado</v>
      </c>
      <c r="B49" s="226" t="n">
        <f aca="false">'ENTRADA DE PARAMETROS'!B87</f>
        <v>1</v>
      </c>
      <c r="C49" s="121" t="n">
        <f aca="false">IF('INGRESO DE DATOS'!$B$40=4,FORMULAS!B49/$B$46*$D$45*$E$3,0)</f>
        <v>0</v>
      </c>
      <c r="F49" s="234"/>
      <c r="H49" s="130" t="n">
        <f aca="false">SUM(H46:H48)</f>
        <v>2.05808980755524</v>
      </c>
      <c r="P49" s="227" t="n">
        <f aca="false">'ENTRADA DE PARAMETROS'!J87</f>
        <v>0</v>
      </c>
      <c r="R49" s="247" t="n">
        <f aca="false">SUM(R45:R48)</f>
        <v>4.41361916771753</v>
      </c>
    </row>
    <row r="50" customFormat="false" ht="13.5" hidden="false" customHeight="true" outlineLevel="0" collapsed="false">
      <c r="A50" s="227" t="str">
        <f aca="false">'ENTRADA DE PARAMETROS'!A88</f>
        <v>5    Unión Libre</v>
      </c>
      <c r="B50" s="226" t="n">
        <f aca="false">'ENTRADA DE PARAMETROS'!B88</f>
        <v>1</v>
      </c>
      <c r="C50" s="121" t="n">
        <f aca="false">IF('INGRESO DE DATOS'!$B$40=5,FORMULAS!B50/$B$46*$D$45*$E$3,0)</f>
        <v>1.07396800316018</v>
      </c>
      <c r="F50" s="234" t="str">
        <f aca="false">'ENTRADA DE PARAMETROS'!D88</f>
        <v>2.8  Local del negocio  (SECTOR URBANO)</v>
      </c>
      <c r="I50" s="221" t="n">
        <f aca="false">'DETALLE DE CALIFICACIONES'!C33</f>
        <v>0.114130434782609</v>
      </c>
      <c r="J50" s="222" t="n">
        <f aca="false">IF($G$1="U",H54,IF($G$1="R",H58,"#nombre?"))</f>
        <v>1.96454027084818</v>
      </c>
      <c r="P50" s="109" t="str">
        <f aca="false">'ENTRADA DE PARAMETROS'!J88</f>
        <v>Patrimonio:</v>
      </c>
      <c r="S50" s="221" t="n">
        <f aca="false">'DETALLE DE CALIFICACIONES'!C62</f>
        <v>0.230769230769231</v>
      </c>
      <c r="T50" s="121" t="n">
        <f aca="false">IF($R$1="P",R55,IF($R$1="M",(R55*0.41),0))</f>
        <v>3.97225725094578</v>
      </c>
    </row>
    <row r="51" customFormat="false" ht="13.5" hidden="false" customHeight="true" outlineLevel="0" collapsed="false">
      <c r="A51" s="227"/>
      <c r="C51" s="241" t="n">
        <f aca="false">SUM(C46:C50)</f>
        <v>1.07396800316018</v>
      </c>
      <c r="F51" s="252" t="str">
        <f aca="false">'ENTRADA DE PARAMETROS'!D89</f>
        <v>1    Propio</v>
      </c>
      <c r="G51" s="228" t="n">
        <f aca="false">'ENTRADA DE PARAMETROS'!E89</f>
        <v>3</v>
      </c>
      <c r="H51" s="121" t="n">
        <f aca="false">IF('INGRESO DE DATOS'!$F$49=1,FORMULAS!G51/FORMULAS!$G$51*FORMULAS!$I$50*FORMULAS!$J$3,0)</f>
        <v>1.96454027084818</v>
      </c>
      <c r="P51" s="227" t="str">
        <f aca="false">'ENTRADA DE PARAMETROS'!J89</f>
        <v>1    Más del 200%</v>
      </c>
      <c r="Q51" s="226" t="n">
        <f aca="false">'ENTRADA DE PARAMETROS'!K89</f>
        <v>4</v>
      </c>
      <c r="R51" s="121" t="n">
        <f aca="false">IF('INGRESO DE DATOS'!$N$44=1,Q51/$Q$51*$S$50*$T$3,0)</f>
        <v>3.97225725094578</v>
      </c>
      <c r="S51" s="121"/>
    </row>
    <row r="52" customFormat="false" ht="13.5" hidden="false" customHeight="true" outlineLevel="0" collapsed="false">
      <c r="A52" s="234" t="str">
        <f aca="false">'ENTRADA DE PARAMETROS'!A90</f>
        <v>1.7  Genero</v>
      </c>
      <c r="D52" s="221" t="n">
        <f aca="false">'DETALLE DE CALIFICACIONES'!C20</f>
        <v>0.0783132530120482</v>
      </c>
      <c r="E52" s="222" t="n">
        <f aca="false">C55</f>
        <v>5.58463361643295</v>
      </c>
      <c r="F52" s="252" t="str">
        <f aca="false">'ENTRADA DE PARAMETROS'!D90</f>
        <v>2    Arrendado</v>
      </c>
      <c r="G52" s="228" t="n">
        <f aca="false">'ENTRADA DE PARAMETROS'!E90</f>
        <v>2</v>
      </c>
      <c r="H52" s="121" t="n">
        <f aca="false">IF('INGRESO DE DATOS'!$F$49=2,FORMULAS!G52/FORMULAS!$G$51*FORMULAS!$I$50*FORMULAS!$J$3,0)</f>
        <v>0</v>
      </c>
      <c r="P52" s="227" t="str">
        <f aca="false">'ENTRADA DE PARAMETROS'!J90</f>
        <v>2    Hasta el 200 %</v>
      </c>
      <c r="Q52" s="226" t="n">
        <f aca="false">'ENTRADA DE PARAMETROS'!K90</f>
        <v>3</v>
      </c>
      <c r="R52" s="121" t="n">
        <f aca="false">IF('INGRESO DE DATOS'!$N$44=2,Q52/$Q$51*$S$50*$T$3,0)</f>
        <v>0</v>
      </c>
      <c r="S52" s="121"/>
    </row>
    <row r="53" customFormat="false" ht="13.5" hidden="false" customHeight="true" outlineLevel="0" collapsed="false">
      <c r="A53" s="227" t="str">
        <f aca="false">'ENTRADA DE PARAMETROS'!A91</f>
        <v>1    Masculino</v>
      </c>
      <c r="B53" s="226" t="n">
        <f aca="false">'ENTRADA DE PARAMETROS'!B91</f>
        <v>1</v>
      </c>
      <c r="C53" s="121" t="n">
        <f aca="false">IF('INGRESO DE DATOS'!$B$46=1,FORMULAS!B53/$B$53*$D$52*$E$3,0)</f>
        <v>0</v>
      </c>
      <c r="F53" s="252" t="str">
        <f aca="false">'ENTRADA DE PARAMETROS'!D91</f>
        <v>3    Ambulante</v>
      </c>
      <c r="G53" s="228" t="n">
        <f aca="false">'ENTRADA DE PARAMETROS'!E91</f>
        <v>1</v>
      </c>
      <c r="H53" s="121" t="n">
        <f aca="false">IF('INGRESO DE DATOS'!$F$49=3,FORMULAS!G53/FORMULAS!$G$51*FORMULAS!$I$50*FORMULAS!$J$3,0)</f>
        <v>0</v>
      </c>
      <c r="P53" s="227" t="str">
        <f aca="false">'ENTRADA DE PARAMETROS'!J91</f>
        <v>3    Hasta el 175%</v>
      </c>
      <c r="Q53" s="226" t="n">
        <f aca="false">'ENTRADA DE PARAMETROS'!K91</f>
        <v>2</v>
      </c>
      <c r="R53" s="121" t="n">
        <f aca="false">IF('INGRESO DE DATOS'!$N$44=3,Q53/$Q$51*$S$50*$T$3,0)</f>
        <v>0</v>
      </c>
      <c r="S53" s="121"/>
    </row>
    <row r="54" customFormat="false" ht="13.5" hidden="false" customHeight="true" outlineLevel="0" collapsed="false">
      <c r="A54" s="227" t="str">
        <f aca="false">'ENTRADA DE PARAMETROS'!A92</f>
        <v>2    Femenino</v>
      </c>
      <c r="B54" s="226" t="n">
        <f aca="false">'ENTRADA DE PARAMETROS'!B92</f>
        <v>3</v>
      </c>
      <c r="C54" s="121" t="n">
        <f aca="false">IF('INGRESO DE DATOS'!$B$46=2,FORMULAS!B54/$B$53*$D$52*$E$3,0)</f>
        <v>5.58463361643295</v>
      </c>
      <c r="F54" s="234"/>
      <c r="H54" s="130" t="n">
        <f aca="false">SUM(H51:H53)</f>
        <v>1.96454027084818</v>
      </c>
      <c r="P54" s="227" t="str">
        <f aca="false">'ENTRADA DE PARAMETROS'!J92</f>
        <v>4    Hasta el 100%</v>
      </c>
      <c r="Q54" s="226" t="n">
        <f aca="false">'ENTRADA DE PARAMETROS'!K92</f>
        <v>0</v>
      </c>
      <c r="R54" s="121" t="n">
        <f aca="false">IF('INGRESO DE DATOS'!$N$44=4,Q54/$Q$51*$S$50*$T$3,0)</f>
        <v>0</v>
      </c>
      <c r="S54" s="121"/>
    </row>
    <row r="55" customFormat="false" ht="13.5" hidden="false" customHeight="true" outlineLevel="0" collapsed="false">
      <c r="A55" s="232"/>
      <c r="C55" s="241" t="n">
        <f aca="false">SUM(C53:C54)</f>
        <v>5.58463361643295</v>
      </c>
      <c r="F55" s="234" t="str">
        <f aca="false">'ENTRADA DE PARAMETROS'!D93</f>
        <v>2.8  Local del negocio  (SECTOR RURAL)</v>
      </c>
      <c r="P55" s="232"/>
      <c r="R55" s="247" t="n">
        <f aca="false">SUM(R51:R54)</f>
        <v>3.97225725094578</v>
      </c>
    </row>
    <row r="56" customFormat="false" ht="13.5" hidden="false" customHeight="true" outlineLevel="0" collapsed="false">
      <c r="A56" s="234" t="str">
        <f aca="false">'ENTRADA DE PARAMETROS'!A94</f>
        <v>1.8 Datos Generales bàsicos</v>
      </c>
      <c r="D56" s="221" t="n">
        <f aca="false">'DETALLE DE CALIFICACIONES'!C21</f>
        <v>0.126506024096386</v>
      </c>
      <c r="E56" s="222" t="n">
        <f aca="false">C60</f>
        <v>2.00474027256567</v>
      </c>
      <c r="F56" s="252" t="str">
        <f aca="false">'ENTRADA DE PARAMETROS'!D94</f>
        <v>1    Propio</v>
      </c>
      <c r="G56" s="228" t="n">
        <f aca="false">'ENTRADA DE PARAMETROS'!E94</f>
        <v>3</v>
      </c>
      <c r="H56" s="121" t="n">
        <f aca="false">IF('INGRESO DE DATOS'!$F$53=1,FORMULAS!G56/FORMULAS!$G$56*FORMULAS!$I$50*FORMULAS!$J$3,0)</f>
        <v>0</v>
      </c>
      <c r="P56" s="109" t="str">
        <f aca="false">'ENTRADA DE PARAMETROS'!J94</f>
        <v>Documentos de respaldo:</v>
      </c>
      <c r="S56" s="221" t="n">
        <f aca="false">'DETALLE DE CALIFICACIONES'!C63</f>
        <v>0.256410256410256</v>
      </c>
      <c r="T56" s="121" t="n">
        <f aca="false">IF($R$1="P",R61,IF($R$1="M",(R61*0.41),0))</f>
        <v>4.41361916771753</v>
      </c>
    </row>
    <row r="57" customFormat="false" ht="13.5" hidden="false" customHeight="true" outlineLevel="0" collapsed="false">
      <c r="A57" s="227" t="str">
        <f aca="false">'ENTRADA DE PARAMETROS'!A95</f>
        <v>1    Correctos</v>
      </c>
      <c r="B57" s="226" t="n">
        <f aca="false">'ENTRADA DE PARAMETROS'!B95</f>
        <v>3</v>
      </c>
      <c r="C57" s="121" t="n">
        <f aca="false">IF('INGRESO DE DATOS'!$B$49=1,FORMULAS!B57/$B$57*$D$56*$E$3,0)</f>
        <v>0</v>
      </c>
      <c r="F57" s="252" t="str">
        <f aca="false">'ENTRADA DE PARAMETROS'!D95</f>
        <v>2    Arrendado</v>
      </c>
      <c r="G57" s="228" t="n">
        <f aca="false">'ENTRADA DE PARAMETROS'!E95</f>
        <v>1</v>
      </c>
      <c r="H57" s="121" t="n">
        <f aca="false">IF('INGRESO DE DATOS'!$F$53=2,FORMULAS!G57/FORMULAS!$G$56*FORMULAS!$I$50*FORMULAS!$J$3,0)</f>
        <v>0.654846756949394</v>
      </c>
      <c r="P57" s="227" t="str">
        <f aca="false">'ENTRADA DE PARAMETROS'!J95</f>
        <v>1    Todos</v>
      </c>
      <c r="Q57" s="226" t="n">
        <f aca="false">'ENTRADA DE PARAMETROS'!K95</f>
        <v>4</v>
      </c>
      <c r="R57" s="121" t="n">
        <f aca="false">IF('INGRESO DE DATOS'!$N$49=1,Q57/$Q$57*$S$56*$T$3,0)</f>
        <v>4.41361916771753</v>
      </c>
      <c r="S57" s="121"/>
    </row>
    <row r="58" customFormat="false" ht="13.5" hidden="false" customHeight="true" outlineLevel="0" collapsed="false">
      <c r="A58" s="227" t="str">
        <f aca="false">'ENTRADA DE PARAMETROS'!A96</f>
        <v>2    Incorrectos</v>
      </c>
      <c r="B58" s="226" t="n">
        <f aca="false">'ENTRADA DE PARAMETROS'!B96</f>
        <v>2</v>
      </c>
      <c r="C58" s="121" t="n">
        <f aca="false">IF('INGRESO DE DATOS'!$B$49=2,FORMULAS!B58/$B$57*$D$56*$E$3,0)</f>
        <v>2.00474027256567</v>
      </c>
      <c r="F58" s="234"/>
      <c r="H58" s="130" t="n">
        <f aca="false">SUM(H56:H57)</f>
        <v>0.654846756949394</v>
      </c>
      <c r="I58" s="221"/>
      <c r="J58" s="222"/>
      <c r="P58" s="227" t="str">
        <f aca="false">'ENTRADA DE PARAMETROS'!J96</f>
        <v>2    Aceptables</v>
      </c>
      <c r="Q58" s="226" t="n">
        <f aca="false">'ENTRADA DE PARAMETROS'!K96</f>
        <v>3</v>
      </c>
      <c r="R58" s="121" t="n">
        <f aca="false">IF('INGRESO DE DATOS'!$N$49=2,Q58/$Q$57*$S$56*$T$3,0)</f>
        <v>0</v>
      </c>
      <c r="S58" s="121"/>
    </row>
    <row r="59" customFormat="false" ht="13.5" hidden="false" customHeight="true" outlineLevel="0" collapsed="false">
      <c r="A59" s="240" t="str">
        <f aca="false">'ENTRADA DE PARAMETROS'!A97</f>
        <v>3    Incompletos</v>
      </c>
      <c r="B59" s="226" t="n">
        <f aca="false">'ENTRADA DE PARAMETROS'!B97</f>
        <v>0</v>
      </c>
      <c r="C59" s="121" t="n">
        <f aca="false">IF('INGRESO DE DATOS'!$B$49=3,FORMULAS!B59/$B$57*$D$56*$E$3,0)</f>
        <v>0</v>
      </c>
      <c r="F59" s="254"/>
      <c r="P59" s="227" t="str">
        <f aca="false">'ENTRADA DE PARAMETROS'!J97</f>
        <v>3    No Aceptables</v>
      </c>
      <c r="Q59" s="226" t="n">
        <f aca="false">'ENTRADA DE PARAMETROS'!K97</f>
        <v>0</v>
      </c>
      <c r="R59" s="121" t="n">
        <f aca="false">IF('INGRESO DE DATOS'!$N$49=3,Q59/$Q$57*$S$56*$T$3,0)</f>
        <v>0</v>
      </c>
      <c r="S59" s="121"/>
    </row>
    <row r="60" customFormat="false" ht="13.5" hidden="false" customHeight="true" outlineLevel="0" collapsed="false">
      <c r="C60" s="241" t="n">
        <f aca="false">SUM(C57:C59)</f>
        <v>2.00474027256567</v>
      </c>
      <c r="F60" s="216"/>
      <c r="P60" s="240" t="str">
        <f aca="false">'ENTRADA DE PARAMETROS'!J98</f>
        <v>4    Ninguno</v>
      </c>
      <c r="Q60" s="226" t="n">
        <f aca="false">'ENTRADA DE PARAMETROS'!K98</f>
        <v>-20</v>
      </c>
      <c r="R60" s="121" t="n">
        <f aca="false">IF('INGRESO DE DATOS'!$N$49=4,Q60/$Q$57*$S$56*$T$3,0)</f>
        <v>0</v>
      </c>
      <c r="S60" s="121"/>
    </row>
    <row r="61" customFormat="false" ht="13.5" hidden="false" customHeight="true" outlineLevel="0" collapsed="false">
      <c r="A61" s="243" t="s">
        <v>470</v>
      </c>
      <c r="D61" s="244" t="n">
        <f aca="false">SUM(D5:D60)</f>
        <v>1</v>
      </c>
      <c r="E61" s="249" t="n">
        <f aca="false">SUM(E5:E60)</f>
        <v>23.6129764961485</v>
      </c>
      <c r="F61" s="243" t="s">
        <v>470</v>
      </c>
      <c r="I61" s="244" t="n">
        <f aca="false">SUM(I5:I60)</f>
        <v>1</v>
      </c>
      <c r="J61" s="249" t="n">
        <f aca="false">SUM(J5:J60)</f>
        <v>16.0804971489665</v>
      </c>
      <c r="R61" s="247" t="n">
        <f aca="false">SUM(R57:R60)</f>
        <v>4.41361916771753</v>
      </c>
    </row>
    <row r="62" customFormat="false" ht="13.5" hidden="false" customHeight="true" outlineLevel="0" collapsed="false">
      <c r="F62" s="217"/>
      <c r="P62" s="243" t="s">
        <v>470</v>
      </c>
      <c r="S62" s="244" t="n">
        <f aca="false">SUM(S38:S61)</f>
        <v>1</v>
      </c>
      <c r="T62" s="249" t="n">
        <f aca="false">SUM(T38:T61)</f>
        <v>17.2131147540984</v>
      </c>
    </row>
    <row r="63" customFormat="false" ht="13.5" hidden="false" customHeight="true" outlineLevel="0" collapsed="false">
      <c r="F63" s="216"/>
      <c r="I63" s="221"/>
      <c r="J63" s="222"/>
    </row>
    <row r="64" customFormat="false" ht="13.5" hidden="false" customHeight="true" outlineLevel="0" collapsed="false">
      <c r="F64" s="255"/>
      <c r="P64" s="243" t="s">
        <v>471</v>
      </c>
      <c r="S64" s="244" t="n">
        <v>1</v>
      </c>
      <c r="T64" s="249" t="n">
        <f aca="false">T36+T62</f>
        <v>17.2131147540984</v>
      </c>
    </row>
  </sheetData>
  <mergeCells count="3">
    <mergeCell ref="B1:C1"/>
    <mergeCell ref="P1:Q1"/>
    <mergeCell ref="B2:C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0"/>
  <sheetViews>
    <sheetView showFormulas="false" showGridLines="true" showRowColHeaders="true" showZeros="true" rightToLeft="false" tabSelected="false" showOutlineSymbols="true" defaultGridColor="true" view="normal" topLeftCell="C1" colorId="64" zoomScale="40" zoomScaleNormal="40" zoomScalePageLayoutView="100" workbookViewId="0">
      <selection pane="topLeft" activeCell="E6" activeCellId="0" sqref="E6"/>
    </sheetView>
  </sheetViews>
  <sheetFormatPr defaultColWidth="10.859375" defaultRowHeight="14.25" zeroHeight="false" outlineLevelRow="0" outlineLevelCol="0"/>
  <cols>
    <col collapsed="false" customWidth="true" hidden="false" outlineLevel="0" max="1" min="1" style="256" width="4.57"/>
    <col collapsed="false" customWidth="true" hidden="false" outlineLevel="0" max="2" min="2" style="256" width="20.71"/>
    <col collapsed="false" customWidth="true" hidden="false" outlineLevel="0" max="3" min="3" style="256" width="9.86"/>
    <col collapsed="false" customWidth="true" hidden="false" outlineLevel="0" max="4" min="4" style="256" width="28.57"/>
    <col collapsed="false" customWidth="true" hidden="false" outlineLevel="0" max="5" min="5" style="256" width="59.57"/>
  </cols>
  <sheetData>
    <row r="3" customFormat="false" ht="14.25" hidden="false" customHeight="false" outlineLevel="0" collapsed="false">
      <c r="A3" s="257" t="s">
        <v>472</v>
      </c>
      <c r="B3" s="258" t="s">
        <v>473</v>
      </c>
      <c r="C3" s="258" t="s">
        <v>474</v>
      </c>
      <c r="D3" s="259" t="s">
        <v>475</v>
      </c>
      <c r="E3" s="258" t="s">
        <v>476</v>
      </c>
    </row>
    <row r="4" customFormat="false" ht="14.25" hidden="false" customHeight="false" outlineLevel="0" collapsed="false">
      <c r="A4" s="260" t="n">
        <v>1</v>
      </c>
      <c r="B4" s="261" t="s">
        <v>477</v>
      </c>
      <c r="C4" s="262" t="n">
        <v>1</v>
      </c>
      <c r="D4" s="263" t="s">
        <v>478</v>
      </c>
      <c r="E4" s="262" t="s">
        <v>479</v>
      </c>
    </row>
    <row r="5" customFormat="false" ht="14.25" hidden="false" customHeight="false" outlineLevel="0" collapsed="false">
      <c r="A5" s="260" t="n">
        <v>2</v>
      </c>
      <c r="B5" s="261" t="s">
        <v>477</v>
      </c>
      <c r="C5" s="264" t="n">
        <v>1</v>
      </c>
      <c r="D5" s="265" t="s">
        <v>480</v>
      </c>
      <c r="E5" s="266" t="s">
        <v>481</v>
      </c>
    </row>
    <row r="6" customFormat="false" ht="14.25" hidden="false" customHeight="false" outlineLevel="0" collapsed="false">
      <c r="A6" s="260" t="n">
        <v>3</v>
      </c>
      <c r="B6" s="261" t="s">
        <v>477</v>
      </c>
      <c r="C6" s="262" t="n">
        <v>1</v>
      </c>
      <c r="D6" s="263" t="s">
        <v>482</v>
      </c>
      <c r="E6" s="262" t="s">
        <v>483</v>
      </c>
    </row>
    <row r="7" customFormat="false" ht="14.25" hidden="false" customHeight="false" outlineLevel="0" collapsed="false">
      <c r="A7" s="260" t="n">
        <v>4</v>
      </c>
      <c r="B7" s="261" t="s">
        <v>477</v>
      </c>
      <c r="C7" s="262" t="n">
        <v>1</v>
      </c>
      <c r="D7" s="263" t="s">
        <v>484</v>
      </c>
      <c r="E7" s="262" t="s">
        <v>485</v>
      </c>
    </row>
    <row r="8" customFormat="false" ht="14.25" hidden="false" customHeight="false" outlineLevel="0" collapsed="false">
      <c r="A8" s="260" t="n">
        <v>5</v>
      </c>
      <c r="B8" s="261" t="s">
        <v>477</v>
      </c>
      <c r="C8" s="262" t="n">
        <v>1</v>
      </c>
      <c r="D8" s="263" t="s">
        <v>486</v>
      </c>
      <c r="E8" s="262" t="s">
        <v>487</v>
      </c>
    </row>
    <row r="9" customFormat="false" ht="14.25" hidden="false" customHeight="false" outlineLevel="0" collapsed="false">
      <c r="A9" s="260" t="n">
        <v>6</v>
      </c>
      <c r="B9" s="261" t="s">
        <v>477</v>
      </c>
      <c r="C9" s="262" t="n">
        <v>1</v>
      </c>
      <c r="D9" s="263" t="s">
        <v>488</v>
      </c>
      <c r="E9" s="267" t="s">
        <v>489</v>
      </c>
    </row>
    <row r="10" customFormat="false" ht="14.25" hidden="false" customHeight="false" outlineLevel="0" collapsed="false">
      <c r="A10" s="260" t="n">
        <v>7</v>
      </c>
      <c r="B10" s="261" t="s">
        <v>477</v>
      </c>
      <c r="C10" s="262" t="n">
        <v>1</v>
      </c>
      <c r="D10" s="263" t="s">
        <v>490</v>
      </c>
      <c r="E10" s="268" t="s">
        <v>491</v>
      </c>
    </row>
    <row r="11" customFormat="false" ht="14.25" hidden="false" customHeight="false" outlineLevel="0" collapsed="false">
      <c r="A11" s="260" t="n">
        <v>8</v>
      </c>
      <c r="B11" s="261" t="s">
        <v>477</v>
      </c>
      <c r="C11" s="262" t="n">
        <v>1</v>
      </c>
      <c r="D11" s="263" t="s">
        <v>492</v>
      </c>
      <c r="E11" s="268" t="s">
        <v>493</v>
      </c>
    </row>
    <row r="12" customFormat="false" ht="14.25" hidden="false" customHeight="false" outlineLevel="0" collapsed="false">
      <c r="A12" s="260" t="n">
        <v>9</v>
      </c>
      <c r="B12" s="261" t="s">
        <v>477</v>
      </c>
      <c r="C12" s="262" t="n">
        <v>1</v>
      </c>
      <c r="D12" s="263" t="s">
        <v>494</v>
      </c>
      <c r="E12" s="262" t="s">
        <v>495</v>
      </c>
    </row>
    <row r="13" customFormat="false" ht="14.25" hidden="false" customHeight="false" outlineLevel="0" collapsed="false">
      <c r="A13" s="260" t="n">
        <v>10</v>
      </c>
      <c r="B13" s="261" t="s">
        <v>477</v>
      </c>
      <c r="C13" s="262" t="n">
        <v>1</v>
      </c>
      <c r="D13" s="263" t="s">
        <v>496</v>
      </c>
      <c r="E13" s="262" t="s">
        <v>497</v>
      </c>
    </row>
    <row r="14" customFormat="false" ht="14.25" hidden="false" customHeight="false" outlineLevel="0" collapsed="false">
      <c r="A14" s="260" t="n">
        <v>11</v>
      </c>
      <c r="B14" s="261" t="s">
        <v>477</v>
      </c>
      <c r="C14" s="262" t="n">
        <v>1</v>
      </c>
      <c r="D14" s="263" t="s">
        <v>498</v>
      </c>
      <c r="E14" s="269" t="s">
        <v>489</v>
      </c>
    </row>
    <row r="15" customFormat="false" ht="14.25" hidden="false" customHeight="false" outlineLevel="0" collapsed="false">
      <c r="A15" s="260" t="n">
        <v>12</v>
      </c>
      <c r="B15" s="261" t="s">
        <v>477</v>
      </c>
      <c r="C15" s="262" t="n">
        <v>1</v>
      </c>
      <c r="D15" s="263" t="s">
        <v>499</v>
      </c>
      <c r="E15" s="269" t="s">
        <v>489</v>
      </c>
    </row>
    <row r="16" customFormat="false" ht="14.25" hidden="false" customHeight="false" outlineLevel="0" collapsed="false">
      <c r="A16" s="260" t="n">
        <v>13</v>
      </c>
      <c r="B16" s="261" t="s">
        <v>477</v>
      </c>
      <c r="C16" s="262" t="n">
        <v>1</v>
      </c>
      <c r="D16" s="263" t="s">
        <v>500</v>
      </c>
      <c r="E16" s="269" t="s">
        <v>489</v>
      </c>
    </row>
    <row r="17" customFormat="false" ht="14.25" hidden="false" customHeight="false" outlineLevel="0" collapsed="false">
      <c r="A17" s="260" t="n">
        <v>14</v>
      </c>
      <c r="B17" s="261" t="s">
        <v>477</v>
      </c>
      <c r="C17" s="262" t="n">
        <v>1</v>
      </c>
      <c r="D17" s="263" t="s">
        <v>501</v>
      </c>
      <c r="E17" s="270" t="s">
        <v>502</v>
      </c>
    </row>
    <row r="18" customFormat="false" ht="14.25" hidden="false" customHeight="false" outlineLevel="0" collapsed="false">
      <c r="A18" s="260" t="n">
        <v>15</v>
      </c>
      <c r="B18" s="261" t="s">
        <v>477</v>
      </c>
      <c r="C18" s="262" t="n">
        <v>1</v>
      </c>
      <c r="D18" s="263" t="s">
        <v>503</v>
      </c>
      <c r="E18" s="269" t="s">
        <v>489</v>
      </c>
    </row>
    <row r="19" customFormat="false" ht="14.25" hidden="false" customHeight="false" outlineLevel="0" collapsed="false">
      <c r="A19" s="260" t="n">
        <v>16</v>
      </c>
      <c r="B19" s="261" t="s">
        <v>477</v>
      </c>
      <c r="C19" s="262" t="n">
        <v>1</v>
      </c>
      <c r="D19" s="263" t="s">
        <v>504</v>
      </c>
      <c r="E19" s="269" t="s">
        <v>489</v>
      </c>
    </row>
    <row r="20" customFormat="false" ht="14.25" hidden="false" customHeight="false" outlineLevel="0" collapsed="false">
      <c r="A20" s="260" t="n">
        <v>17</v>
      </c>
      <c r="B20" s="261" t="s">
        <v>505</v>
      </c>
      <c r="C20" s="262" t="n">
        <v>2</v>
      </c>
      <c r="D20" s="263" t="s">
        <v>506</v>
      </c>
      <c r="E20" s="262" t="s">
        <v>507</v>
      </c>
    </row>
    <row r="21" customFormat="false" ht="14.25" hidden="false" customHeight="false" outlineLevel="0" collapsed="false">
      <c r="A21" s="260" t="n">
        <v>18</v>
      </c>
      <c r="B21" s="261" t="s">
        <v>505</v>
      </c>
      <c r="C21" s="262" t="n">
        <v>2</v>
      </c>
      <c r="D21" s="263" t="s">
        <v>508</v>
      </c>
      <c r="E21" s="262" t="s">
        <v>509</v>
      </c>
    </row>
    <row r="22" customFormat="false" ht="14.25" hidden="false" customHeight="false" outlineLevel="0" collapsed="false">
      <c r="A22" s="260" t="n">
        <v>19</v>
      </c>
      <c r="B22" s="261" t="s">
        <v>505</v>
      </c>
      <c r="C22" s="262" t="n">
        <v>2</v>
      </c>
      <c r="D22" s="263" t="s">
        <v>510</v>
      </c>
      <c r="E22" s="262" t="s">
        <v>511</v>
      </c>
    </row>
    <row r="23" customFormat="false" ht="14.25" hidden="false" customHeight="false" outlineLevel="0" collapsed="false">
      <c r="A23" s="260" t="n">
        <v>20</v>
      </c>
      <c r="B23" s="261" t="s">
        <v>505</v>
      </c>
      <c r="C23" s="262" t="n">
        <v>2</v>
      </c>
      <c r="D23" s="263" t="s">
        <v>512</v>
      </c>
      <c r="E23" s="267" t="s">
        <v>489</v>
      </c>
    </row>
    <row r="24" customFormat="false" ht="14.25" hidden="false" customHeight="false" outlineLevel="0" collapsed="false">
      <c r="A24" s="260" t="n">
        <v>21</v>
      </c>
      <c r="B24" s="261" t="s">
        <v>505</v>
      </c>
      <c r="C24" s="262" t="n">
        <v>2</v>
      </c>
      <c r="D24" s="263" t="s">
        <v>513</v>
      </c>
      <c r="E24" s="262" t="s">
        <v>514</v>
      </c>
    </row>
    <row r="25" customFormat="false" ht="14.25" hidden="false" customHeight="false" outlineLevel="0" collapsed="false">
      <c r="A25" s="260" t="n">
        <v>22</v>
      </c>
      <c r="B25" s="261" t="s">
        <v>505</v>
      </c>
      <c r="C25" s="262" t="n">
        <v>2</v>
      </c>
      <c r="D25" s="263" t="s">
        <v>515</v>
      </c>
      <c r="E25" s="268" t="s">
        <v>516</v>
      </c>
    </row>
    <row r="26" customFormat="false" ht="14.25" hidden="false" customHeight="false" outlineLevel="0" collapsed="false">
      <c r="A26" s="260" t="n">
        <v>23</v>
      </c>
      <c r="B26" s="261" t="s">
        <v>517</v>
      </c>
      <c r="C26" s="262" t="n">
        <v>3</v>
      </c>
      <c r="D26" s="263" t="s">
        <v>518</v>
      </c>
      <c r="E26" s="268" t="s">
        <v>519</v>
      </c>
    </row>
    <row r="27" customFormat="false" ht="14.25" hidden="false" customHeight="false" outlineLevel="0" collapsed="false">
      <c r="A27" s="260" t="n">
        <v>24</v>
      </c>
      <c r="B27" s="261" t="s">
        <v>517</v>
      </c>
      <c r="C27" s="262" t="n">
        <v>3</v>
      </c>
      <c r="D27" s="263" t="s">
        <v>520</v>
      </c>
      <c r="E27" s="262" t="s">
        <v>521</v>
      </c>
    </row>
    <row r="28" customFormat="false" ht="14.25" hidden="false" customHeight="false" outlineLevel="0" collapsed="false">
      <c r="A28" s="260" t="n">
        <v>25</v>
      </c>
      <c r="B28" s="261" t="s">
        <v>522</v>
      </c>
      <c r="C28" s="262" t="n">
        <v>4</v>
      </c>
      <c r="D28" s="263" t="s">
        <v>523</v>
      </c>
      <c r="E28" s="267" t="s">
        <v>489</v>
      </c>
    </row>
    <row r="29" customFormat="false" ht="14.25" hidden="false" customHeight="false" outlineLevel="0" collapsed="false">
      <c r="A29" s="260" t="n">
        <v>26</v>
      </c>
      <c r="B29" s="261" t="s">
        <v>522</v>
      </c>
      <c r="C29" s="262" t="n">
        <v>4</v>
      </c>
      <c r="D29" s="263" t="s">
        <v>524</v>
      </c>
      <c r="E29" s="262" t="s">
        <v>525</v>
      </c>
    </row>
    <row r="30" customFormat="false" ht="14.25" hidden="false" customHeight="false" outlineLevel="0" collapsed="false">
      <c r="A30" s="260" t="n">
        <v>27</v>
      </c>
      <c r="B30" s="261" t="s">
        <v>522</v>
      </c>
      <c r="C30" s="262" t="n">
        <v>4</v>
      </c>
      <c r="D30" s="263" t="s">
        <v>526</v>
      </c>
      <c r="E30" s="262" t="s">
        <v>527</v>
      </c>
    </row>
    <row r="31" customFormat="false" ht="14.25" hidden="false" customHeight="false" outlineLevel="0" collapsed="false">
      <c r="A31" s="260" t="n">
        <v>28</v>
      </c>
      <c r="B31" s="261" t="s">
        <v>522</v>
      </c>
      <c r="C31" s="262" t="n">
        <v>4</v>
      </c>
      <c r="D31" s="263" t="s">
        <v>528</v>
      </c>
      <c r="E31" s="262" t="s">
        <v>529</v>
      </c>
    </row>
    <row r="32" customFormat="false" ht="14.25" hidden="false" customHeight="false" outlineLevel="0" collapsed="false">
      <c r="A32" s="260" t="n">
        <v>29</v>
      </c>
      <c r="B32" s="261" t="s">
        <v>522</v>
      </c>
      <c r="C32" s="262" t="n">
        <v>4</v>
      </c>
      <c r="D32" s="263" t="s">
        <v>530</v>
      </c>
      <c r="E32" s="271" t="s">
        <v>531</v>
      </c>
    </row>
    <row r="33" customFormat="false" ht="14.25" hidden="false" customHeight="false" outlineLevel="0" collapsed="false">
      <c r="A33" s="260" t="n">
        <v>30</v>
      </c>
      <c r="B33" s="261" t="s">
        <v>532</v>
      </c>
      <c r="C33" s="262" t="n">
        <v>5</v>
      </c>
      <c r="D33" s="263" t="s">
        <v>533</v>
      </c>
      <c r="E33" s="262" t="s">
        <v>534</v>
      </c>
    </row>
    <row r="34" customFormat="false" ht="14.25" hidden="false" customHeight="false" outlineLevel="0" collapsed="false">
      <c r="A34" s="260" t="n">
        <v>31</v>
      </c>
      <c r="B34" s="261" t="s">
        <v>532</v>
      </c>
      <c r="C34" s="262" t="n">
        <v>5</v>
      </c>
      <c r="D34" s="263" t="s">
        <v>535</v>
      </c>
      <c r="E34" s="262" t="s">
        <v>536</v>
      </c>
    </row>
    <row r="35" customFormat="false" ht="14.25" hidden="false" customHeight="false" outlineLevel="0" collapsed="false">
      <c r="A35" s="260" t="n">
        <v>32</v>
      </c>
      <c r="B35" s="261" t="s">
        <v>532</v>
      </c>
      <c r="C35" s="262" t="n">
        <v>5</v>
      </c>
      <c r="D35" s="263" t="s">
        <v>537</v>
      </c>
      <c r="E35" s="262" t="s">
        <v>538</v>
      </c>
    </row>
    <row r="36" customFormat="false" ht="14.25" hidden="false" customHeight="false" outlineLevel="0" collapsed="false">
      <c r="A36" s="260" t="n">
        <v>33</v>
      </c>
      <c r="B36" s="261" t="s">
        <v>532</v>
      </c>
      <c r="C36" s="262" t="n">
        <v>5</v>
      </c>
      <c r="D36" s="263" t="s">
        <v>539</v>
      </c>
      <c r="E36" s="262" t="s">
        <v>540</v>
      </c>
    </row>
    <row r="37" customFormat="false" ht="14.25" hidden="false" customHeight="false" outlineLevel="0" collapsed="false">
      <c r="A37" s="260" t="n">
        <v>34</v>
      </c>
      <c r="B37" s="261" t="s">
        <v>532</v>
      </c>
      <c r="C37" s="262" t="n">
        <v>5</v>
      </c>
      <c r="D37" s="263" t="s">
        <v>541</v>
      </c>
      <c r="E37" s="262" t="s">
        <v>542</v>
      </c>
    </row>
    <row r="38" customFormat="false" ht="14.25" hidden="false" customHeight="false" outlineLevel="0" collapsed="false">
      <c r="A38" s="260" t="n">
        <v>35</v>
      </c>
      <c r="B38" s="261" t="s">
        <v>532</v>
      </c>
      <c r="C38" s="262" t="n">
        <v>5</v>
      </c>
      <c r="D38" s="263" t="s">
        <v>543</v>
      </c>
      <c r="E38" s="267" t="s">
        <v>489</v>
      </c>
    </row>
    <row r="39" customFormat="false" ht="14.25" hidden="false" customHeight="false" outlineLevel="0" collapsed="false">
      <c r="A39" s="260" t="n">
        <v>36</v>
      </c>
      <c r="B39" s="261" t="s">
        <v>532</v>
      </c>
      <c r="C39" s="262" t="n">
        <v>5</v>
      </c>
      <c r="D39" s="263" t="s">
        <v>544</v>
      </c>
      <c r="E39" s="262" t="s">
        <v>545</v>
      </c>
    </row>
    <row r="40" customFormat="false" ht="14.25" hidden="false" customHeight="false" outlineLevel="0" collapsed="false">
      <c r="A40" s="260" t="n">
        <v>37</v>
      </c>
      <c r="B40" s="261" t="s">
        <v>532</v>
      </c>
      <c r="C40" s="262" t="n">
        <v>5</v>
      </c>
      <c r="D40" s="263" t="s">
        <v>546</v>
      </c>
      <c r="E40" s="267" t="s">
        <v>489</v>
      </c>
    </row>
    <row r="41" customFormat="false" ht="14.25" hidden="false" customHeight="false" outlineLevel="0" collapsed="false">
      <c r="A41" s="260" t="n">
        <v>38</v>
      </c>
      <c r="B41" s="261" t="s">
        <v>532</v>
      </c>
      <c r="C41" s="262" t="n">
        <v>6</v>
      </c>
      <c r="D41" s="263" t="s">
        <v>547</v>
      </c>
      <c r="E41" s="267" t="s">
        <v>548</v>
      </c>
    </row>
    <row r="42" customFormat="false" ht="14.25" hidden="false" customHeight="false" outlineLevel="0" collapsed="false">
      <c r="A42" s="260" t="n">
        <v>39</v>
      </c>
      <c r="B42" s="261" t="s">
        <v>549</v>
      </c>
      <c r="C42" s="262" t="n">
        <v>6</v>
      </c>
      <c r="D42" s="263" t="s">
        <v>550</v>
      </c>
      <c r="E42" s="267" t="s">
        <v>551</v>
      </c>
    </row>
    <row r="43" customFormat="false" ht="14.25" hidden="false" customHeight="false" outlineLevel="0" collapsed="false">
      <c r="A43" s="260" t="n">
        <v>40</v>
      </c>
      <c r="B43" s="261" t="s">
        <v>549</v>
      </c>
      <c r="C43" s="262" t="n">
        <v>6</v>
      </c>
      <c r="D43" s="263" t="s">
        <v>552</v>
      </c>
      <c r="E43" s="267" t="s">
        <v>553</v>
      </c>
    </row>
    <row r="44" customFormat="false" ht="14.25" hidden="false" customHeight="false" outlineLevel="0" collapsed="false">
      <c r="A44" s="260" t="n">
        <v>41</v>
      </c>
      <c r="B44" s="261" t="s">
        <v>549</v>
      </c>
      <c r="C44" s="262" t="n">
        <v>6</v>
      </c>
      <c r="D44" s="263" t="s">
        <v>554</v>
      </c>
      <c r="E44" s="267" t="s">
        <v>555</v>
      </c>
    </row>
    <row r="45" customFormat="false" ht="14.25" hidden="false" customHeight="false" outlineLevel="0" collapsed="false">
      <c r="A45" s="260" t="n">
        <v>42</v>
      </c>
      <c r="B45" s="261" t="s">
        <v>549</v>
      </c>
      <c r="C45" s="262" t="n">
        <v>6</v>
      </c>
      <c r="D45" s="263" t="s">
        <v>556</v>
      </c>
      <c r="E45" s="267" t="s">
        <v>557</v>
      </c>
    </row>
    <row r="46" customFormat="false" ht="14.25" hidden="false" customHeight="false" outlineLevel="0" collapsed="false">
      <c r="A46" s="260" t="n">
        <v>43</v>
      </c>
      <c r="B46" s="261" t="s">
        <v>549</v>
      </c>
      <c r="C46" s="262" t="n">
        <v>6</v>
      </c>
      <c r="D46" s="263" t="s">
        <v>558</v>
      </c>
      <c r="E46" s="262" t="s">
        <v>559</v>
      </c>
    </row>
    <row r="47" customFormat="false" ht="14.25" hidden="false" customHeight="false" outlineLevel="0" collapsed="false">
      <c r="A47" s="260" t="n">
        <v>44</v>
      </c>
      <c r="B47" s="261" t="s">
        <v>549</v>
      </c>
      <c r="C47" s="268" t="n">
        <v>6</v>
      </c>
      <c r="D47" s="263" t="s">
        <v>560</v>
      </c>
      <c r="E47" s="262" t="s">
        <v>561</v>
      </c>
    </row>
    <row r="48" customFormat="false" ht="14.25" hidden="false" customHeight="false" outlineLevel="0" collapsed="false">
      <c r="A48" s="260" t="n">
        <v>45</v>
      </c>
      <c r="B48" s="261" t="s">
        <v>549</v>
      </c>
      <c r="C48" s="262" t="n">
        <v>6</v>
      </c>
      <c r="D48" s="263" t="s">
        <v>562</v>
      </c>
      <c r="E48" s="267" t="s">
        <v>563</v>
      </c>
    </row>
    <row r="49" customFormat="false" ht="14.25" hidden="false" customHeight="false" outlineLevel="0" collapsed="false">
      <c r="A49" s="260" t="n">
        <v>46</v>
      </c>
      <c r="B49" s="261" t="s">
        <v>549</v>
      </c>
      <c r="C49" s="262" t="n">
        <v>6</v>
      </c>
      <c r="D49" s="263" t="s">
        <v>564</v>
      </c>
      <c r="E49" s="267" t="s">
        <v>489</v>
      </c>
    </row>
    <row r="50" customFormat="false" ht="14.25" hidden="false" customHeight="false" outlineLevel="0" collapsed="false">
      <c r="A50" s="260" t="n">
        <v>47</v>
      </c>
      <c r="B50" s="261" t="s">
        <v>549</v>
      </c>
      <c r="C50" s="262" t="n">
        <v>6</v>
      </c>
      <c r="D50" s="263" t="s">
        <v>565</v>
      </c>
      <c r="E50" s="267" t="s">
        <v>566</v>
      </c>
    </row>
    <row r="51" customFormat="false" ht="14.25" hidden="false" customHeight="false" outlineLevel="0" collapsed="false">
      <c r="A51" s="260"/>
      <c r="B51" s="261" t="s">
        <v>549</v>
      </c>
      <c r="C51" s="262" t="n">
        <v>6</v>
      </c>
      <c r="D51" s="263" t="s">
        <v>567</v>
      </c>
      <c r="E51" s="262" t="s">
        <v>568</v>
      </c>
    </row>
    <row r="52" customFormat="false" ht="14.25" hidden="false" customHeight="false" outlineLevel="0" collapsed="false">
      <c r="A52" s="260" t="n">
        <v>48</v>
      </c>
      <c r="B52" s="261" t="s">
        <v>569</v>
      </c>
      <c r="C52" s="262" t="n">
        <v>7</v>
      </c>
      <c r="D52" s="263" t="s">
        <v>570</v>
      </c>
      <c r="E52" s="262" t="s">
        <v>571</v>
      </c>
    </row>
    <row r="53" customFormat="false" ht="14.25" hidden="false" customHeight="false" outlineLevel="0" collapsed="false">
      <c r="A53" s="260" t="n">
        <v>49</v>
      </c>
      <c r="B53" s="261" t="s">
        <v>569</v>
      </c>
      <c r="C53" s="272" t="n">
        <v>7</v>
      </c>
      <c r="D53" s="263" t="s">
        <v>572</v>
      </c>
      <c r="E53" s="262" t="s">
        <v>573</v>
      </c>
    </row>
    <row r="54" customFormat="false" ht="14.25" hidden="false" customHeight="false" outlineLevel="0" collapsed="false">
      <c r="A54" s="260" t="n">
        <v>50</v>
      </c>
      <c r="B54" s="261" t="s">
        <v>569</v>
      </c>
      <c r="C54" s="272" t="n">
        <v>7</v>
      </c>
      <c r="D54" s="263" t="s">
        <v>19</v>
      </c>
      <c r="E54" s="262" t="s">
        <v>574</v>
      </c>
    </row>
    <row r="55" customFormat="false" ht="14.25" hidden="false" customHeight="false" outlineLevel="0" collapsed="false">
      <c r="A55" s="260" t="n">
        <v>51</v>
      </c>
      <c r="B55" s="261" t="s">
        <v>569</v>
      </c>
      <c r="C55" s="268" t="n">
        <v>7</v>
      </c>
      <c r="D55" s="263" t="s">
        <v>575</v>
      </c>
      <c r="E55" s="268" t="s">
        <v>576</v>
      </c>
    </row>
    <row r="56" customFormat="false" ht="14.25" hidden="false" customHeight="false" outlineLevel="0" collapsed="false">
      <c r="A56" s="260" t="n">
        <v>52</v>
      </c>
      <c r="B56" s="261" t="s">
        <v>577</v>
      </c>
      <c r="C56" s="262" t="n">
        <v>8</v>
      </c>
      <c r="D56" s="263" t="s">
        <v>578</v>
      </c>
      <c r="E56" s="262" t="s">
        <v>579</v>
      </c>
    </row>
    <row r="57" customFormat="false" ht="14.25" hidden="false" customHeight="false" outlineLevel="0" collapsed="false">
      <c r="A57" s="260" t="n">
        <v>53</v>
      </c>
      <c r="B57" s="261" t="s">
        <v>577</v>
      </c>
      <c r="C57" s="262" t="n">
        <v>8</v>
      </c>
      <c r="D57" s="263" t="s">
        <v>580</v>
      </c>
      <c r="E57" s="262" t="s">
        <v>581</v>
      </c>
    </row>
    <row r="58" customFormat="false" ht="14.25" hidden="false" customHeight="false" outlineLevel="0" collapsed="false">
      <c r="A58" s="260" t="n">
        <v>54</v>
      </c>
      <c r="B58" s="261" t="s">
        <v>577</v>
      </c>
      <c r="C58" s="262" t="n">
        <v>8</v>
      </c>
      <c r="D58" s="263" t="s">
        <v>582</v>
      </c>
      <c r="E58" s="262" t="s">
        <v>583</v>
      </c>
    </row>
    <row r="59" customFormat="false" ht="14.25" hidden="false" customHeight="false" outlineLevel="0" collapsed="false">
      <c r="A59" s="260" t="n">
        <v>55</v>
      </c>
      <c r="B59" s="261" t="s">
        <v>577</v>
      </c>
      <c r="C59" s="262" t="n">
        <v>8</v>
      </c>
      <c r="D59" s="263" t="s">
        <v>584</v>
      </c>
      <c r="E59" s="267" t="s">
        <v>585</v>
      </c>
      <c r="I59" s="273"/>
      <c r="J59" s="274"/>
      <c r="K59" s="275"/>
      <c r="L59" s="276"/>
    </row>
    <row r="60" customFormat="false" ht="14.25" hidden="false" customHeight="false" outlineLevel="0" collapsed="false">
      <c r="A60" s="260" t="n">
        <v>56</v>
      </c>
      <c r="B60" s="261" t="s">
        <v>577</v>
      </c>
      <c r="C60" s="262" t="n">
        <v>8</v>
      </c>
      <c r="D60" s="263" t="s">
        <v>586</v>
      </c>
      <c r="E60" s="262" t="s">
        <v>587</v>
      </c>
      <c r="G60" s="277"/>
      <c r="H60" s="277"/>
      <c r="I60" s="278"/>
      <c r="J60" s="279"/>
      <c r="K60" s="278"/>
      <c r="L60" s="279"/>
    </row>
    <row r="61" customFormat="false" ht="14.25" hidden="false" customHeight="false" outlineLevel="0" collapsed="false">
      <c r="A61" s="260" t="n">
        <v>57</v>
      </c>
      <c r="B61" s="261" t="s">
        <v>577</v>
      </c>
      <c r="C61" s="262" t="n">
        <v>8</v>
      </c>
      <c r="D61" s="263" t="s">
        <v>588</v>
      </c>
      <c r="E61" s="262" t="s">
        <v>589</v>
      </c>
      <c r="H61" s="276"/>
      <c r="I61" s="273"/>
      <c r="J61" s="276"/>
      <c r="K61" s="273"/>
      <c r="L61" s="276"/>
    </row>
    <row r="62" customFormat="false" ht="14.25" hidden="false" customHeight="false" outlineLevel="0" collapsed="false">
      <c r="A62" s="260"/>
      <c r="B62" s="261" t="s">
        <v>577</v>
      </c>
      <c r="C62" s="262" t="n">
        <v>8</v>
      </c>
      <c r="D62" s="263" t="s">
        <v>590</v>
      </c>
      <c r="E62" s="280" t="s">
        <v>591</v>
      </c>
      <c r="H62" s="276"/>
      <c r="I62" s="273"/>
      <c r="J62" s="276"/>
      <c r="K62" s="273"/>
      <c r="L62" s="276"/>
    </row>
    <row r="63" customFormat="false" ht="14.25" hidden="false" customHeight="false" outlineLevel="0" collapsed="false">
      <c r="A63" s="260"/>
      <c r="B63" s="261" t="s">
        <v>577</v>
      </c>
      <c r="C63" s="262" t="n">
        <v>8</v>
      </c>
      <c r="D63" s="263" t="s">
        <v>592</v>
      </c>
      <c r="E63" s="281" t="s">
        <v>593</v>
      </c>
      <c r="H63" s="276"/>
      <c r="I63" s="273"/>
      <c r="J63" s="276"/>
      <c r="K63" s="273"/>
      <c r="L63" s="276"/>
    </row>
    <row r="64" customFormat="false" ht="14.25" hidden="false" customHeight="false" outlineLevel="0" collapsed="false">
      <c r="A64" s="260" t="n">
        <v>58</v>
      </c>
      <c r="B64" s="261" t="s">
        <v>594</v>
      </c>
      <c r="C64" s="262" t="n">
        <v>9</v>
      </c>
      <c r="D64" s="263" t="s">
        <v>595</v>
      </c>
      <c r="E64" s="262" t="s">
        <v>596</v>
      </c>
      <c r="H64" s="276"/>
      <c r="I64" s="273"/>
      <c r="J64" s="276"/>
      <c r="K64" s="273"/>
      <c r="L64" s="276"/>
    </row>
    <row r="65" customFormat="false" ht="14.25" hidden="false" customHeight="false" outlineLevel="0" collapsed="false">
      <c r="A65" s="260" t="n">
        <v>59</v>
      </c>
      <c r="B65" s="261" t="s">
        <v>594</v>
      </c>
      <c r="C65" s="262" t="n">
        <v>9</v>
      </c>
      <c r="D65" s="263" t="s">
        <v>597</v>
      </c>
      <c r="E65" s="262" t="s">
        <v>598</v>
      </c>
      <c r="H65" s="276"/>
      <c r="I65" s="273"/>
      <c r="J65" s="276"/>
      <c r="K65" s="273"/>
      <c r="L65" s="276"/>
    </row>
    <row r="66" customFormat="false" ht="14.25" hidden="false" customHeight="false" outlineLevel="0" collapsed="false">
      <c r="A66" s="260" t="n">
        <v>60</v>
      </c>
      <c r="B66" s="261" t="s">
        <v>599</v>
      </c>
      <c r="C66" s="262" t="n">
        <v>10</v>
      </c>
      <c r="D66" s="263" t="s">
        <v>600</v>
      </c>
      <c r="E66" s="262" t="s">
        <v>601</v>
      </c>
      <c r="G66" s="277"/>
      <c r="I66" s="278"/>
      <c r="J66" s="279"/>
      <c r="K66" s="278"/>
      <c r="L66" s="279"/>
    </row>
    <row r="67" customFormat="false" ht="14.25" hidden="false" customHeight="false" outlineLevel="0" collapsed="false">
      <c r="A67" s="260" t="n">
        <v>61</v>
      </c>
      <c r="B67" s="261" t="s">
        <v>599</v>
      </c>
      <c r="C67" s="262" t="n">
        <v>10</v>
      </c>
      <c r="D67" s="263" t="s">
        <v>602</v>
      </c>
      <c r="E67" s="262" t="s">
        <v>603</v>
      </c>
    </row>
    <row r="68" customFormat="false" ht="14.25" hidden="false" customHeight="false" outlineLevel="0" collapsed="false">
      <c r="A68" s="260" t="n">
        <v>62</v>
      </c>
      <c r="B68" s="261" t="s">
        <v>599</v>
      </c>
      <c r="C68" s="262" t="n">
        <v>10</v>
      </c>
      <c r="D68" s="263" t="s">
        <v>604</v>
      </c>
      <c r="E68" s="262" t="s">
        <v>605</v>
      </c>
    </row>
    <row r="69" customFormat="false" ht="14.25" hidden="false" customHeight="false" outlineLevel="0" collapsed="false">
      <c r="A69" s="260" t="n">
        <v>63</v>
      </c>
      <c r="B69" s="261" t="s">
        <v>599</v>
      </c>
      <c r="C69" s="262" t="n">
        <v>10</v>
      </c>
      <c r="D69" s="263" t="s">
        <v>606</v>
      </c>
      <c r="E69" s="262" t="s">
        <v>607</v>
      </c>
    </row>
    <row r="70" customFormat="false" ht="14.25" hidden="false" customHeight="false" outlineLevel="0" collapsed="false">
      <c r="A70" s="260" t="n">
        <v>64</v>
      </c>
      <c r="B70" s="261" t="s">
        <v>599</v>
      </c>
      <c r="C70" s="262" t="n">
        <v>10</v>
      </c>
      <c r="D70" s="263" t="s">
        <v>608</v>
      </c>
      <c r="E70" s="262" t="s">
        <v>609</v>
      </c>
    </row>
    <row r="71" customFormat="false" ht="14.25" hidden="false" customHeight="false" outlineLevel="0" collapsed="false">
      <c r="A71" s="260" t="n">
        <v>65</v>
      </c>
      <c r="B71" s="261" t="s">
        <v>610</v>
      </c>
      <c r="C71" s="262" t="n">
        <v>11</v>
      </c>
      <c r="D71" s="263" t="s">
        <v>611</v>
      </c>
      <c r="E71" s="262" t="s">
        <v>612</v>
      </c>
    </row>
    <row r="72" customFormat="false" ht="14.25" hidden="false" customHeight="false" outlineLevel="0" collapsed="false">
      <c r="A72" s="260" t="n">
        <v>66</v>
      </c>
      <c r="B72" s="261" t="s">
        <v>610</v>
      </c>
      <c r="C72" s="262" t="n">
        <v>11</v>
      </c>
      <c r="D72" s="263" t="s">
        <v>613</v>
      </c>
      <c r="E72" s="262" t="s">
        <v>614</v>
      </c>
    </row>
    <row r="73" customFormat="false" ht="14.25" hidden="false" customHeight="false" outlineLevel="0" collapsed="false">
      <c r="A73" s="260" t="n">
        <v>67</v>
      </c>
      <c r="B73" s="261" t="s">
        <v>610</v>
      </c>
      <c r="C73" s="262" t="n">
        <v>11</v>
      </c>
      <c r="D73" s="263" t="s">
        <v>615</v>
      </c>
      <c r="E73" s="268" t="s">
        <v>616</v>
      </c>
    </row>
    <row r="74" customFormat="false" ht="14.25" hidden="false" customHeight="false" outlineLevel="0" collapsed="false">
      <c r="A74" s="260" t="n">
        <v>68</v>
      </c>
      <c r="B74" s="261" t="s">
        <v>610</v>
      </c>
      <c r="C74" s="262" t="n">
        <v>11</v>
      </c>
      <c r="D74" s="263" t="s">
        <v>617</v>
      </c>
      <c r="E74" s="268" t="s">
        <v>618</v>
      </c>
    </row>
    <row r="75" customFormat="false" ht="14.25" hidden="false" customHeight="false" outlineLevel="0" collapsed="false">
      <c r="A75" s="260" t="n">
        <v>69</v>
      </c>
      <c r="B75" s="261" t="s">
        <v>610</v>
      </c>
      <c r="C75" s="262" t="n">
        <v>11</v>
      </c>
      <c r="D75" s="263" t="s">
        <v>619</v>
      </c>
      <c r="E75" s="270" t="s">
        <v>620</v>
      </c>
    </row>
    <row r="76" customFormat="false" ht="14.25" hidden="false" customHeight="true" outlineLevel="0" collapsed="false">
      <c r="A76" s="260" t="n">
        <v>71</v>
      </c>
      <c r="B76" s="261" t="s">
        <v>621</v>
      </c>
      <c r="C76" s="262" t="n">
        <v>12</v>
      </c>
      <c r="D76" s="263" t="s">
        <v>622</v>
      </c>
      <c r="E76" s="262" t="s">
        <v>623</v>
      </c>
    </row>
    <row r="77" customFormat="false" ht="14.25" hidden="false" customHeight="false" outlineLevel="0" collapsed="false">
      <c r="A77" s="260" t="n">
        <v>72</v>
      </c>
      <c r="B77" s="261" t="s">
        <v>621</v>
      </c>
      <c r="C77" s="272" t="n">
        <v>12</v>
      </c>
      <c r="D77" s="263" t="s">
        <v>624</v>
      </c>
      <c r="E77" s="262" t="s">
        <v>625</v>
      </c>
    </row>
    <row r="78" customFormat="false" ht="14.25" hidden="false" customHeight="false" outlineLevel="0" collapsed="false">
      <c r="A78" s="260" t="n">
        <v>73</v>
      </c>
      <c r="B78" s="261" t="s">
        <v>621</v>
      </c>
      <c r="C78" s="262" t="n">
        <v>12</v>
      </c>
      <c r="D78" s="263" t="s">
        <v>626</v>
      </c>
      <c r="E78" s="262" t="s">
        <v>627</v>
      </c>
    </row>
    <row r="79" customFormat="false" ht="14.25" hidden="false" customHeight="false" outlineLevel="0" collapsed="false">
      <c r="A79" s="260" t="n">
        <v>74</v>
      </c>
      <c r="B79" s="261" t="s">
        <v>621</v>
      </c>
      <c r="C79" s="262" t="n">
        <v>12</v>
      </c>
      <c r="D79" s="263" t="s">
        <v>628</v>
      </c>
      <c r="E79" s="262" t="s">
        <v>629</v>
      </c>
    </row>
    <row r="80" customFormat="false" ht="14.25" hidden="false" customHeight="false" outlineLevel="0" collapsed="false">
      <c r="A80" s="260" t="n">
        <v>75</v>
      </c>
      <c r="B80" s="261" t="s">
        <v>630</v>
      </c>
      <c r="C80" s="262" t="n">
        <v>13</v>
      </c>
      <c r="D80" s="263" t="s">
        <v>631</v>
      </c>
      <c r="E80" s="262" t="s">
        <v>632</v>
      </c>
    </row>
    <row r="81" customFormat="false" ht="14.25" hidden="false" customHeight="false" outlineLevel="0" collapsed="false">
      <c r="A81" s="260" t="n">
        <v>76</v>
      </c>
      <c r="B81" s="261" t="s">
        <v>630</v>
      </c>
      <c r="C81" s="262" t="n">
        <v>13</v>
      </c>
      <c r="D81" s="263" t="s">
        <v>633</v>
      </c>
      <c r="E81" s="262" t="s">
        <v>634</v>
      </c>
    </row>
    <row r="82" customFormat="false" ht="14.25" hidden="false" customHeight="false" outlineLevel="0" collapsed="false">
      <c r="A82" s="260" t="n">
        <v>77</v>
      </c>
      <c r="B82" s="261" t="s">
        <v>630</v>
      </c>
      <c r="C82" s="262" t="n">
        <v>13</v>
      </c>
      <c r="D82" s="263" t="s">
        <v>635</v>
      </c>
      <c r="E82" s="262" t="s">
        <v>636</v>
      </c>
    </row>
    <row r="83" customFormat="false" ht="14.25" hidden="false" customHeight="false" outlineLevel="0" collapsed="false">
      <c r="A83" s="260" t="n">
        <v>78</v>
      </c>
      <c r="B83" s="260" t="s">
        <v>630</v>
      </c>
      <c r="C83" s="262" t="n">
        <v>13</v>
      </c>
      <c r="D83" s="263" t="s">
        <v>637</v>
      </c>
      <c r="E83" s="262" t="s">
        <v>638</v>
      </c>
    </row>
    <row r="84" customFormat="false" ht="14.25" hidden="false" customHeight="false" outlineLevel="0" collapsed="false">
      <c r="A84" s="260" t="n">
        <v>79</v>
      </c>
      <c r="B84" s="260" t="s">
        <v>630</v>
      </c>
      <c r="C84" s="262" t="n">
        <v>13</v>
      </c>
      <c r="D84" s="263" t="s">
        <v>639</v>
      </c>
      <c r="E84" s="267" t="s">
        <v>489</v>
      </c>
    </row>
    <row r="85" customFormat="false" ht="14.25" hidden="false" customHeight="false" outlineLevel="0" collapsed="false">
      <c r="A85" s="260" t="n">
        <v>80</v>
      </c>
      <c r="B85" s="260" t="s">
        <v>640</v>
      </c>
      <c r="C85" s="262" t="n">
        <v>14</v>
      </c>
      <c r="D85" s="263" t="s">
        <v>641</v>
      </c>
      <c r="E85" s="267" t="s">
        <v>489</v>
      </c>
      <c r="G85" s="282"/>
    </row>
    <row r="86" customFormat="false" ht="14.25" hidden="false" customHeight="false" outlineLevel="0" collapsed="false">
      <c r="A86" s="260" t="n">
        <v>81</v>
      </c>
      <c r="B86" s="260" t="s">
        <v>640</v>
      </c>
      <c r="C86" s="262" t="n">
        <v>14</v>
      </c>
      <c r="D86" s="263" t="s">
        <v>642</v>
      </c>
      <c r="E86" s="262" t="s">
        <v>643</v>
      </c>
    </row>
    <row r="87" customFormat="false" ht="14.25" hidden="false" customHeight="false" outlineLevel="0" collapsed="false">
      <c r="A87" s="260" t="n">
        <v>82</v>
      </c>
      <c r="B87" s="260" t="s">
        <v>640</v>
      </c>
      <c r="C87" s="262" t="n">
        <v>14</v>
      </c>
      <c r="D87" s="263" t="s">
        <v>644</v>
      </c>
      <c r="E87" s="262" t="s">
        <v>645</v>
      </c>
    </row>
    <row r="88" customFormat="false" ht="14.25" hidden="false" customHeight="false" outlineLevel="0" collapsed="false">
      <c r="A88" s="260" t="n">
        <v>83</v>
      </c>
      <c r="B88" s="260" t="s">
        <v>640</v>
      </c>
      <c r="C88" s="268" t="n">
        <v>14</v>
      </c>
      <c r="D88" s="263" t="s">
        <v>646</v>
      </c>
      <c r="E88" s="262" t="s">
        <v>647</v>
      </c>
    </row>
    <row r="89" customFormat="false" ht="14.25" hidden="false" customHeight="false" outlineLevel="0" collapsed="false">
      <c r="A89" s="260" t="n">
        <v>84</v>
      </c>
      <c r="B89" s="260" t="s">
        <v>640</v>
      </c>
      <c r="C89" s="268" t="n">
        <v>14</v>
      </c>
      <c r="D89" s="263" t="s">
        <v>648</v>
      </c>
      <c r="E89" s="268" t="s">
        <v>649</v>
      </c>
    </row>
    <row r="90" customFormat="false" ht="14.25" hidden="false" customHeight="false" outlineLevel="0" collapsed="false">
      <c r="A90" s="260" t="n">
        <v>85</v>
      </c>
      <c r="B90" s="260" t="s">
        <v>640</v>
      </c>
      <c r="C90" s="268" t="n">
        <v>14</v>
      </c>
      <c r="D90" s="263" t="s">
        <v>650</v>
      </c>
      <c r="E90" s="268" t="s">
        <v>651</v>
      </c>
    </row>
    <row r="91" customFormat="false" ht="14.25" hidden="false" customHeight="false" outlineLevel="0" collapsed="false">
      <c r="A91" s="260" t="n">
        <v>86</v>
      </c>
      <c r="B91" s="260" t="s">
        <v>640</v>
      </c>
      <c r="C91" s="268" t="n">
        <v>14</v>
      </c>
      <c r="D91" s="263" t="s">
        <v>652</v>
      </c>
      <c r="E91" s="268" t="s">
        <v>653</v>
      </c>
    </row>
    <row r="92" customFormat="false" ht="14.25" hidden="false" customHeight="false" outlineLevel="0" collapsed="false">
      <c r="A92" s="260" t="n">
        <v>87</v>
      </c>
      <c r="B92" s="260" t="s">
        <v>640</v>
      </c>
      <c r="C92" s="268" t="n">
        <v>14</v>
      </c>
      <c r="D92" s="263" t="s">
        <v>654</v>
      </c>
      <c r="E92" s="268" t="s">
        <v>655</v>
      </c>
    </row>
    <row r="93" customFormat="false" ht="14.25" hidden="false" customHeight="false" outlineLevel="0" collapsed="false">
      <c r="C93" s="268" t="n">
        <v>14</v>
      </c>
      <c r="D93" s="263" t="s">
        <v>656</v>
      </c>
      <c r="E93" s="283" t="s">
        <v>657</v>
      </c>
    </row>
    <row r="98" customFormat="false" ht="14.25" hidden="false" customHeight="false" outlineLevel="0" collapsed="false">
      <c r="E98" s="284" t="n">
        <v>89</v>
      </c>
    </row>
    <row r="99" customFormat="false" ht="14.25" hidden="false" customHeight="false" outlineLevel="0" collapsed="false">
      <c r="D99" s="284" t="s">
        <v>489</v>
      </c>
      <c r="E99" s="284" t="n">
        <v>12</v>
      </c>
    </row>
    <row r="100" customFormat="false" ht="14.25" hidden="false" customHeight="false" outlineLevel="0" collapsed="false">
      <c r="D100" s="284" t="s">
        <v>658</v>
      </c>
      <c r="E100" s="284" t="n">
        <f aca="false">+E98-E99</f>
        <v>77</v>
      </c>
    </row>
  </sheetData>
  <autoFilter ref="A3:E9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0" colorId="64" zoomScale="40" zoomScaleNormal="40" zoomScalePageLayoutView="100" workbookViewId="0">
      <selection pane="topLeft" activeCell="C46" activeCellId="0" sqref="C46"/>
    </sheetView>
  </sheetViews>
  <sheetFormatPr defaultColWidth="10.859375" defaultRowHeight="12.75" zeroHeight="false" outlineLevelRow="0" outlineLevelCol="0"/>
  <cols>
    <col collapsed="false" customWidth="true" hidden="false" outlineLevel="0" max="1" min="1" style="285" width="5.71"/>
    <col collapsed="false" customWidth="true" hidden="false" outlineLevel="0" max="2" min="2" style="205" width="95.57"/>
  </cols>
  <sheetData>
    <row r="1" customFormat="false" ht="15" hidden="false" customHeight="true" outlineLevel="0" collapsed="false">
      <c r="A1" s="286" t="s">
        <v>659</v>
      </c>
      <c r="B1" s="286"/>
    </row>
    <row r="2" customFormat="false" ht="13.8" hidden="false" customHeight="false" outlineLevel="0" collapsed="false">
      <c r="A2" s="287" t="s">
        <v>660</v>
      </c>
      <c r="B2" s="288" t="s">
        <v>661</v>
      </c>
    </row>
    <row r="3" customFormat="false" ht="13.8" hidden="false" customHeight="false" outlineLevel="0" collapsed="false">
      <c r="A3" s="287" t="s">
        <v>478</v>
      </c>
      <c r="B3" s="289" t="s">
        <v>662</v>
      </c>
    </row>
    <row r="4" customFormat="false" ht="13.8" hidden="false" customHeight="false" outlineLevel="0" collapsed="false">
      <c r="A4" s="287" t="s">
        <v>663</v>
      </c>
      <c r="B4" s="288" t="s">
        <v>664</v>
      </c>
    </row>
    <row r="5" customFormat="false" ht="13.8" hidden="false" customHeight="false" outlineLevel="0" collapsed="false">
      <c r="A5" s="287" t="s">
        <v>506</v>
      </c>
      <c r="B5" s="289" t="s">
        <v>665</v>
      </c>
    </row>
    <row r="6" customFormat="false" ht="13.8" hidden="false" customHeight="false" outlineLevel="0" collapsed="false">
      <c r="A6" s="287" t="s">
        <v>666</v>
      </c>
      <c r="B6" s="288" t="s">
        <v>667</v>
      </c>
    </row>
    <row r="7" customFormat="false" ht="13.8" hidden="false" customHeight="false" outlineLevel="0" collapsed="false">
      <c r="A7" s="287" t="s">
        <v>518</v>
      </c>
      <c r="B7" s="289" t="s">
        <v>668</v>
      </c>
    </row>
    <row r="8" customFormat="false" ht="13.8" hidden="false" customHeight="false" outlineLevel="0" collapsed="false">
      <c r="A8" s="287" t="s">
        <v>6</v>
      </c>
      <c r="B8" s="288" t="s">
        <v>669</v>
      </c>
    </row>
    <row r="9" customFormat="false" ht="13.8" hidden="false" customHeight="false" outlineLevel="0" collapsed="false">
      <c r="A9" s="287" t="s">
        <v>523</v>
      </c>
      <c r="B9" s="289" t="s">
        <v>670</v>
      </c>
    </row>
    <row r="10" customFormat="false" ht="13.8" hidden="false" customHeight="false" outlineLevel="0" collapsed="false">
      <c r="A10" s="287" t="s">
        <v>671</v>
      </c>
      <c r="B10" s="288" t="s">
        <v>672</v>
      </c>
    </row>
    <row r="11" customFormat="false" ht="13.8" hidden="false" customHeight="false" outlineLevel="0" collapsed="false">
      <c r="A11" s="287" t="s">
        <v>533</v>
      </c>
      <c r="B11" s="289" t="s">
        <v>673</v>
      </c>
    </row>
    <row r="12" customFormat="false" ht="13.8" hidden="false" customHeight="false" outlineLevel="0" collapsed="false">
      <c r="A12" s="287" t="s">
        <v>674</v>
      </c>
      <c r="B12" s="288" t="s">
        <v>675</v>
      </c>
    </row>
    <row r="13" customFormat="false" ht="13.8" hidden="false" customHeight="false" outlineLevel="0" collapsed="false">
      <c r="A13" s="287" t="s">
        <v>547</v>
      </c>
      <c r="B13" s="289" t="s">
        <v>676</v>
      </c>
    </row>
    <row r="14" customFormat="false" ht="13.8" hidden="false" customHeight="false" outlineLevel="0" collapsed="false">
      <c r="A14" s="287" t="s">
        <v>677</v>
      </c>
      <c r="B14" s="288" t="s">
        <v>678</v>
      </c>
    </row>
    <row r="15" customFormat="false" ht="13.8" hidden="false" customHeight="false" outlineLevel="0" collapsed="false">
      <c r="A15" s="287" t="s">
        <v>570</v>
      </c>
      <c r="B15" s="289" t="s">
        <v>679</v>
      </c>
    </row>
    <row r="16" customFormat="false" ht="13.8" hidden="false" customHeight="false" outlineLevel="0" collapsed="false">
      <c r="A16" s="287" t="s">
        <v>680</v>
      </c>
      <c r="B16" s="288" t="s">
        <v>681</v>
      </c>
    </row>
    <row r="17" customFormat="false" ht="13.8" hidden="false" customHeight="false" outlineLevel="0" collapsed="false">
      <c r="A17" s="287" t="s">
        <v>578</v>
      </c>
      <c r="B17" s="288" t="s">
        <v>682</v>
      </c>
    </row>
    <row r="18" customFormat="false" ht="13.8" hidden="false" customHeight="false" outlineLevel="0" collapsed="false">
      <c r="A18" s="287" t="s">
        <v>683</v>
      </c>
      <c r="B18" s="288" t="s">
        <v>684</v>
      </c>
    </row>
    <row r="19" customFormat="false" ht="13.8" hidden="false" customHeight="false" outlineLevel="0" collapsed="false">
      <c r="A19" s="287" t="s">
        <v>595</v>
      </c>
      <c r="B19" s="289" t="s">
        <v>685</v>
      </c>
    </row>
    <row r="20" customFormat="false" ht="13.8" hidden="false" customHeight="false" outlineLevel="0" collapsed="false">
      <c r="A20" s="287" t="s">
        <v>686</v>
      </c>
      <c r="B20" s="288" t="s">
        <v>687</v>
      </c>
    </row>
    <row r="21" customFormat="false" ht="13.8" hidden="false" customHeight="false" outlineLevel="0" collapsed="false">
      <c r="A21" s="287" t="s">
        <v>600</v>
      </c>
      <c r="B21" s="289" t="s">
        <v>688</v>
      </c>
    </row>
    <row r="22" customFormat="false" ht="13.8" hidden="false" customHeight="false" outlineLevel="0" collapsed="false">
      <c r="A22" s="287" t="s">
        <v>689</v>
      </c>
      <c r="B22" s="288" t="s">
        <v>690</v>
      </c>
    </row>
    <row r="23" customFormat="false" ht="13.8" hidden="false" customHeight="false" outlineLevel="0" collapsed="false">
      <c r="A23" s="287" t="s">
        <v>611</v>
      </c>
      <c r="B23" s="289" t="s">
        <v>691</v>
      </c>
    </row>
    <row r="24" customFormat="false" ht="13.8" hidden="false" customHeight="false" outlineLevel="0" collapsed="false">
      <c r="A24" s="287" t="s">
        <v>692</v>
      </c>
      <c r="B24" s="288" t="s">
        <v>693</v>
      </c>
    </row>
    <row r="25" customFormat="false" ht="13.8" hidden="false" customHeight="false" outlineLevel="0" collapsed="false">
      <c r="A25" s="287" t="s">
        <v>622</v>
      </c>
      <c r="B25" s="289" t="s">
        <v>694</v>
      </c>
    </row>
    <row r="26" customFormat="false" ht="13.8" hidden="false" customHeight="false" outlineLevel="0" collapsed="false">
      <c r="A26" s="287" t="s">
        <v>695</v>
      </c>
      <c r="B26" s="288" t="s">
        <v>696</v>
      </c>
    </row>
    <row r="27" customFormat="false" ht="13.8" hidden="false" customHeight="false" outlineLevel="0" collapsed="false">
      <c r="A27" s="287" t="s">
        <v>631</v>
      </c>
      <c r="B27" s="289" t="s">
        <v>697</v>
      </c>
    </row>
    <row r="28" customFormat="false" ht="13.8" hidden="false" customHeight="false" outlineLevel="0" collapsed="false">
      <c r="A28" s="287" t="s">
        <v>698</v>
      </c>
      <c r="B28" s="288" t="s">
        <v>699</v>
      </c>
    </row>
    <row r="29" customFormat="false" ht="13.8" hidden="false" customHeight="false" outlineLevel="0" collapsed="false">
      <c r="A29" s="287" t="s">
        <v>700</v>
      </c>
      <c r="B29" s="288" t="s">
        <v>701</v>
      </c>
    </row>
    <row r="30" customFormat="false" ht="13.8" hidden="false" customHeight="false" outlineLevel="0" collapsed="false">
      <c r="A30" s="287" t="s">
        <v>702</v>
      </c>
      <c r="B30" s="288" t="s">
        <v>703</v>
      </c>
    </row>
    <row r="31" customFormat="false" ht="13.8" hidden="false" customHeight="false" outlineLevel="0" collapsed="false">
      <c r="A31" s="287" t="s">
        <v>704</v>
      </c>
      <c r="B31" s="288" t="s">
        <v>705</v>
      </c>
    </row>
    <row r="32" customFormat="false" ht="13.8" hidden="false" customHeight="false" outlineLevel="0" collapsed="false">
      <c r="A32" s="287" t="s">
        <v>706</v>
      </c>
      <c r="B32" s="289" t="s">
        <v>707</v>
      </c>
    </row>
    <row r="33" customFormat="false" ht="13.8" hidden="false" customHeight="false" outlineLevel="0" collapsed="false">
      <c r="A33" s="287" t="s">
        <v>708</v>
      </c>
      <c r="B33" s="288" t="s">
        <v>709</v>
      </c>
    </row>
    <row r="34" customFormat="false" ht="13.8" hidden="false" customHeight="false" outlineLevel="0" collapsed="false">
      <c r="A34" s="287" t="s">
        <v>710</v>
      </c>
      <c r="B34" s="288" t="s">
        <v>711</v>
      </c>
    </row>
    <row r="35" customFormat="false" ht="13.8" hidden="false" customHeight="false" outlineLevel="0" collapsed="false">
      <c r="A35" s="287" t="s">
        <v>712</v>
      </c>
      <c r="B35" s="288" t="s">
        <v>713</v>
      </c>
    </row>
    <row r="36" customFormat="false" ht="13.8" hidden="false" customHeight="false" outlineLevel="0" collapsed="false">
      <c r="A36" s="287" t="s">
        <v>714</v>
      </c>
      <c r="B36" s="288" t="s">
        <v>715</v>
      </c>
    </row>
    <row r="37" customFormat="false" ht="13.8" hidden="false" customHeight="false" outlineLevel="0" collapsed="false">
      <c r="A37" s="287" t="s">
        <v>716</v>
      </c>
      <c r="B37" s="288" t="s">
        <v>717</v>
      </c>
    </row>
    <row r="38" customFormat="false" ht="13.8" hidden="false" customHeight="false" outlineLevel="0" collapsed="false">
      <c r="A38" s="287" t="s">
        <v>718</v>
      </c>
      <c r="B38" s="288" t="s">
        <v>719</v>
      </c>
    </row>
    <row r="39" customFormat="false" ht="13.8" hidden="false" customHeight="false" outlineLevel="0" collapsed="false">
      <c r="A39" s="287" t="s">
        <v>720</v>
      </c>
      <c r="B39" s="288" t="s">
        <v>721</v>
      </c>
    </row>
    <row r="40" customFormat="false" ht="13.8" hidden="false" customHeight="false" outlineLevel="0" collapsed="false">
      <c r="A40" s="287" t="s">
        <v>722</v>
      </c>
      <c r="B40" s="208" t="s">
        <v>723</v>
      </c>
    </row>
    <row r="41" customFormat="false" ht="13.8" hidden="false" customHeight="false" outlineLevel="0" collapsed="false">
      <c r="A41" s="287" t="s">
        <v>724</v>
      </c>
      <c r="B41" s="208" t="s">
        <v>725</v>
      </c>
    </row>
    <row r="42" customFormat="false" ht="13.8" hidden="false" customHeight="false" outlineLevel="0" collapsed="false">
      <c r="A42" s="287" t="s">
        <v>726</v>
      </c>
      <c r="B42" s="288" t="s">
        <v>727</v>
      </c>
    </row>
    <row r="43" customFormat="false" ht="13.8" hidden="false" customHeight="false" outlineLevel="0" collapsed="false">
      <c r="A43" s="287" t="s">
        <v>728</v>
      </c>
      <c r="B43" s="206" t="s">
        <v>729</v>
      </c>
    </row>
    <row r="44" customFormat="false" ht="13.8" hidden="false" customHeight="false" outlineLevel="0" collapsed="false">
      <c r="A44" s="287" t="s">
        <v>730</v>
      </c>
      <c r="B44" s="206" t="s">
        <v>731</v>
      </c>
    </row>
  </sheetData>
  <sheetProtection algorithmName="SHA-512" hashValue="ragSc0HoRoHxCsKWvgUTl7w9iBaVbhWIkjohInTKwkSlahD1qjkHDHlcsp+LsD3pGa/jnadSsPxW0enAX8J1xQ==" saltValue="INjtncpNenNAPk8VlPja3w==" spinCount="100000" sheet="true" selectLockedCells="true" selectUnlockedCells="true"/>
  <mergeCells count="1">
    <mergeCell ref="A1:B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35" colorId="64" zoomScale="40" zoomScaleNormal="40" zoomScalePageLayoutView="100" workbookViewId="0">
      <selection pane="topLeft" activeCell="D157" activeCellId="0" sqref="D157"/>
    </sheetView>
  </sheetViews>
  <sheetFormatPr defaultColWidth="10.859375" defaultRowHeight="12.75" zeroHeight="false" outlineLevelRow="0" outlineLevelCol="0"/>
  <cols>
    <col collapsed="false" customWidth="true" hidden="false" outlineLevel="0" max="1" min="1" style="205" width="18.57"/>
    <col collapsed="false" customWidth="true" hidden="false" outlineLevel="0" max="2" min="2" style="205" width="11.43"/>
    <col collapsed="false" customWidth="true" hidden="false" outlineLevel="0" max="3" min="3" style="205" width="20.85"/>
    <col collapsed="false" customWidth="true" hidden="false" outlineLevel="0" max="4" min="4" style="205" width="12.57"/>
    <col collapsed="false" customWidth="true" hidden="false" outlineLevel="0" max="6" min="5" style="205" width="11.43"/>
    <col collapsed="false" customWidth="true" hidden="false" outlineLevel="0" max="7" min="7" style="205" width="18"/>
    <col collapsed="false" customWidth="true" hidden="false" outlineLevel="0" max="8" min="8" style="205" width="12.57"/>
    <col collapsed="false" customWidth="true" hidden="false" outlineLevel="0" max="9" min="9" style="205" width="10.29"/>
    <col collapsed="false" customWidth="true" hidden="true" outlineLevel="0" max="10" min="10" style="205" width="9.71"/>
    <col collapsed="false" customWidth="true" hidden="true" outlineLevel="0" max="11" min="11" style="205" width="11.71"/>
    <col collapsed="false" customWidth="true" hidden="true" outlineLevel="0" max="12" min="12" style="205" width="14.86"/>
    <col collapsed="false" customWidth="true" hidden="true" outlineLevel="0" max="13" min="13" style="205" width="11.85"/>
    <col collapsed="false" customWidth="true" hidden="false" outlineLevel="0" max="14" min="14" style="205" width="11.29"/>
  </cols>
  <sheetData>
    <row r="6" customFormat="false" ht="13.8" hidden="false" customHeight="false" outlineLevel="0" collapsed="false">
      <c r="A6" s="290" t="s">
        <v>732</v>
      </c>
      <c r="B6" s="290"/>
      <c r="C6" s="290"/>
      <c r="D6" s="290"/>
      <c r="E6" s="290"/>
      <c r="F6" s="290"/>
      <c r="G6" s="290"/>
      <c r="H6" s="290"/>
    </row>
    <row r="8" customFormat="false" ht="13.8" hidden="false" customHeight="false" outlineLevel="0" collapsed="false">
      <c r="A8" s="291" t="s">
        <v>733</v>
      </c>
      <c r="B8" s="292" t="n">
        <v>100000</v>
      </c>
      <c r="C8" s="293"/>
      <c r="D8" s="294"/>
    </row>
    <row r="9" customFormat="false" ht="13.8" hidden="false" customHeight="false" outlineLevel="0" collapsed="false">
      <c r="A9" s="295" t="s">
        <v>734</v>
      </c>
      <c r="B9" s="296" t="n">
        <v>0.14</v>
      </c>
      <c r="C9" s="297"/>
      <c r="D9" s="298"/>
    </row>
    <row r="10" customFormat="false" ht="13.8" hidden="false" customHeight="false" outlineLevel="0" collapsed="false">
      <c r="A10" s="295" t="s">
        <v>735</v>
      </c>
      <c r="B10" s="299" t="n">
        <v>84</v>
      </c>
      <c r="C10" s="300"/>
      <c r="D10" s="301"/>
    </row>
    <row r="11" customFormat="false" ht="13.8" hidden="false" customHeight="false" outlineLevel="0" collapsed="false">
      <c r="A11" s="295" t="s">
        <v>736</v>
      </c>
      <c r="B11" s="206" t="n">
        <v>12</v>
      </c>
      <c r="C11" s="302" t="s">
        <v>737</v>
      </c>
      <c r="D11" s="303" t="n">
        <f aca="false">+B8/((1-(1+B13)^-B10)/B13)</f>
        <v>1874.00116055291</v>
      </c>
    </row>
    <row r="12" customFormat="false" ht="13.8" hidden="false" customHeight="false" outlineLevel="0" collapsed="false">
      <c r="A12" s="295" t="s">
        <v>738</v>
      </c>
      <c r="B12" s="206" t="n">
        <v>30</v>
      </c>
      <c r="C12" s="304"/>
      <c r="D12" s="305"/>
    </row>
    <row r="13" customFormat="false" ht="13.8" hidden="false" customHeight="false" outlineLevel="0" collapsed="false">
      <c r="A13" s="295" t="s">
        <v>739</v>
      </c>
      <c r="B13" s="306" t="n">
        <f aca="false">+B9/B11</f>
        <v>0.0116666666666667</v>
      </c>
      <c r="C13" s="302" t="s">
        <v>740</v>
      </c>
      <c r="D13" s="303" t="n">
        <f aca="false">SUMIF(M19:M198,"&gt;0",M19:M198)</f>
        <v>6039.51727160274</v>
      </c>
    </row>
    <row r="14" customFormat="false" ht="13.8" hidden="false" customHeight="false" outlineLevel="0" collapsed="false">
      <c r="A14" s="307" t="s">
        <v>741</v>
      </c>
      <c r="B14" s="308" t="n">
        <f aca="false">+B9/360</f>
        <v>0.000388888888888889</v>
      </c>
      <c r="C14" s="309"/>
      <c r="D14" s="310"/>
    </row>
    <row r="15" customFormat="false" ht="13.8" hidden="false" customHeight="false" outlineLevel="0" collapsed="false">
      <c r="A15" s="302" t="s">
        <v>742</v>
      </c>
      <c r="B15" s="311" t="n">
        <v>0.0118</v>
      </c>
    </row>
    <row r="17" customFormat="false" ht="13.8" hidden="false" customHeight="false" outlineLevel="0" collapsed="false">
      <c r="A17" s="312" t="s">
        <v>743</v>
      </c>
      <c r="B17" s="312" t="s">
        <v>459</v>
      </c>
      <c r="C17" s="313" t="s">
        <v>733</v>
      </c>
      <c r="D17" s="313" t="s">
        <v>734</v>
      </c>
      <c r="E17" s="313" t="s">
        <v>744</v>
      </c>
      <c r="F17" s="313" t="s">
        <v>745</v>
      </c>
      <c r="G17" s="314" t="s">
        <v>746</v>
      </c>
      <c r="H17" s="315" t="s">
        <v>747</v>
      </c>
      <c r="J17" s="316" t="s">
        <v>748</v>
      </c>
      <c r="K17" s="317" t="s">
        <v>749</v>
      </c>
      <c r="L17" s="317" t="s">
        <v>750</v>
      </c>
      <c r="M17" s="318" t="s">
        <v>751</v>
      </c>
    </row>
    <row r="18" customFormat="false" ht="12.75" hidden="false" customHeight="false" outlineLevel="0" collapsed="false">
      <c r="A18" s="319"/>
      <c r="B18" s="207" t="n">
        <f aca="true">NOW()</f>
        <v>46079.3358627662</v>
      </c>
      <c r="C18" s="208"/>
      <c r="D18" s="208"/>
      <c r="E18" s="208"/>
      <c r="F18" s="208"/>
      <c r="G18" s="304"/>
      <c r="H18" s="320" t="n">
        <f aca="false">+B8</f>
        <v>100000</v>
      </c>
      <c r="J18" s="321" t="n">
        <v>0.00118</v>
      </c>
      <c r="K18" s="208" t="n">
        <v>0.035</v>
      </c>
      <c r="L18" s="208" t="n">
        <v>0.005</v>
      </c>
      <c r="M18" s="322" t="n">
        <f aca="false">+J18+K18+L18</f>
        <v>0.04118</v>
      </c>
    </row>
    <row r="19" customFormat="false" ht="12.75" hidden="false" customHeight="false" outlineLevel="0" collapsed="false">
      <c r="A19" s="319" t="n">
        <v>1</v>
      </c>
      <c r="B19" s="207" t="n">
        <f aca="false">+B18+E19</f>
        <v>46109.3358627662</v>
      </c>
      <c r="C19" s="323" t="n">
        <f aca="false">+$D$11-D19</f>
        <v>707.334493886242</v>
      </c>
      <c r="D19" s="323" t="n">
        <f aca="false">+H18*$B$9/360*E19</f>
        <v>1166.66666666667</v>
      </c>
      <c r="E19" s="208" t="n">
        <v>30</v>
      </c>
      <c r="F19" s="323" t="n">
        <f aca="false">+C19+D19</f>
        <v>1874.00116055291</v>
      </c>
      <c r="G19" s="324" t="n">
        <f aca="false">+F19+M19</f>
        <v>1996.72116055291</v>
      </c>
      <c r="H19" s="320" t="n">
        <f aca="false">+H18-C19</f>
        <v>99292.6655061138</v>
      </c>
      <c r="J19" s="325" t="n">
        <f aca="false">+H18*$J$18</f>
        <v>118</v>
      </c>
      <c r="K19" s="323" t="n">
        <f aca="false">+J19*$K$18</f>
        <v>4.13</v>
      </c>
      <c r="L19" s="323" t="n">
        <f aca="false">+J19*$L$18</f>
        <v>0.59</v>
      </c>
      <c r="M19" s="320" t="n">
        <f aca="false">+J19+K19+L19</f>
        <v>122.72</v>
      </c>
    </row>
    <row r="20" customFormat="false" ht="12.75" hidden="false" customHeight="false" outlineLevel="0" collapsed="false">
      <c r="A20" s="319" t="n">
        <v>2</v>
      </c>
      <c r="B20" s="207" t="n">
        <f aca="false">+B19+E20</f>
        <v>46139.3358627662</v>
      </c>
      <c r="C20" s="323" t="n">
        <f aca="false">+$D$11-D20</f>
        <v>715.586729648248</v>
      </c>
      <c r="D20" s="323" t="n">
        <f aca="false">+H19*$B$9/360*E20</f>
        <v>1158.41443090466</v>
      </c>
      <c r="E20" s="208" t="n">
        <v>30</v>
      </c>
      <c r="F20" s="323" t="n">
        <f aca="false">+C20+D20</f>
        <v>1874.00116055291</v>
      </c>
      <c r="G20" s="324" t="n">
        <f aca="false">+F20+M20</f>
        <v>1995.85311966201</v>
      </c>
      <c r="H20" s="320" t="n">
        <f aca="false">+H19-C20</f>
        <v>98577.0787764655</v>
      </c>
      <c r="J20" s="325" t="n">
        <f aca="false">+H19*$J$18</f>
        <v>117.165345297214</v>
      </c>
      <c r="K20" s="323" t="n">
        <f aca="false">+J20*$K$18</f>
        <v>4.1007870854025</v>
      </c>
      <c r="L20" s="323" t="n">
        <f aca="false">+J20*$L$18</f>
        <v>0.585826726486071</v>
      </c>
      <c r="M20" s="320" t="n">
        <f aca="false">+J20+K20+L20</f>
        <v>121.851959109103</v>
      </c>
    </row>
    <row r="21" customFormat="false" ht="12.75" hidden="false" customHeight="false" outlineLevel="0" collapsed="false">
      <c r="A21" s="319" t="n">
        <v>3</v>
      </c>
      <c r="B21" s="207" t="n">
        <f aca="false">+B20+E21</f>
        <v>46169.3358627662</v>
      </c>
      <c r="C21" s="323" t="n">
        <f aca="false">+$D$11-D21</f>
        <v>723.935241494144</v>
      </c>
      <c r="D21" s="323" t="n">
        <f aca="false">+H20*$B$9/360*E21</f>
        <v>1150.06591905876</v>
      </c>
      <c r="E21" s="208" t="n">
        <v>30</v>
      </c>
      <c r="F21" s="323" t="n">
        <f aca="false">+C21+D21</f>
        <v>1874.00116055291</v>
      </c>
      <c r="G21" s="324" t="n">
        <f aca="false">+F21+M21</f>
        <v>1994.97495162739</v>
      </c>
      <c r="H21" s="320" t="n">
        <f aca="false">+H20-C21</f>
        <v>97853.1435349714</v>
      </c>
      <c r="J21" s="325" t="n">
        <f aca="false">+H20*$J$18</f>
        <v>116.320952956229</v>
      </c>
      <c r="K21" s="323" t="n">
        <f aca="false">+J21*$K$18</f>
        <v>4.07123335346803</v>
      </c>
      <c r="L21" s="323" t="n">
        <f aca="false">+J21*$L$18</f>
        <v>0.581604764781147</v>
      </c>
      <c r="M21" s="320" t="n">
        <f aca="false">+J21+K21+L21</f>
        <v>120.973791074478</v>
      </c>
    </row>
    <row r="22" customFormat="false" ht="12.75" hidden="false" customHeight="false" outlineLevel="0" collapsed="false">
      <c r="A22" s="319" t="n">
        <v>4</v>
      </c>
      <c r="B22" s="207" t="n">
        <f aca="true">NOW()</f>
        <v>46079.3358627662</v>
      </c>
      <c r="C22" s="323" t="n">
        <f aca="false">+$D$11-D22</f>
        <v>732.381152644909</v>
      </c>
      <c r="D22" s="323" t="n">
        <f aca="false">+H21*$B$9/360*E22</f>
        <v>1141.620007908</v>
      </c>
      <c r="E22" s="208" t="n">
        <v>30</v>
      </c>
      <c r="F22" s="323" t="n">
        <f aca="false">+C22+D22</f>
        <v>1874.00116055291</v>
      </c>
      <c r="G22" s="324" t="n">
        <f aca="false">+F22+M22</f>
        <v>1994.08653829903</v>
      </c>
      <c r="H22" s="320" t="n">
        <f aca="false">+H21-C22</f>
        <v>97120.7623823265</v>
      </c>
      <c r="J22" s="325" t="n">
        <f aca="false">+H21*$J$18</f>
        <v>115.466709371266</v>
      </c>
      <c r="K22" s="323" t="n">
        <f aca="false">+J22*$K$18</f>
        <v>4.04133482799432</v>
      </c>
      <c r="L22" s="323" t="n">
        <f aca="false">+J22*$L$18</f>
        <v>0.577333546856331</v>
      </c>
      <c r="M22" s="320" t="n">
        <f aca="false">+J22+K22+L22</f>
        <v>120.085377746117</v>
      </c>
    </row>
    <row r="23" customFormat="false" ht="12.75" hidden="false" customHeight="false" outlineLevel="0" collapsed="false">
      <c r="A23" s="319" t="n">
        <v>5</v>
      </c>
      <c r="B23" s="207" t="n">
        <f aca="false">+B22+E23</f>
        <v>46109.3358627662</v>
      </c>
      <c r="C23" s="323" t="n">
        <f aca="false">+$D$11-D23</f>
        <v>740.925599425767</v>
      </c>
      <c r="D23" s="323" t="n">
        <f aca="false">+H22*$B$9/360*E23</f>
        <v>1133.07556112714</v>
      </c>
      <c r="E23" s="208" t="n">
        <v>30</v>
      </c>
      <c r="F23" s="323" t="n">
        <f aca="false">+C23+D23</f>
        <v>1874.00116055291</v>
      </c>
      <c r="G23" s="324" t="n">
        <f aca="false">+F23+M23</f>
        <v>1993.1877601485</v>
      </c>
      <c r="H23" s="320" t="n">
        <f aca="false">+H22-C23</f>
        <v>96379.8367829007</v>
      </c>
      <c r="J23" s="325" t="n">
        <f aca="false">+H22*$J$18</f>
        <v>114.602499611145</v>
      </c>
      <c r="K23" s="323" t="n">
        <f aca="false">+J23*$K$18</f>
        <v>4.01108748639008</v>
      </c>
      <c r="L23" s="323" t="n">
        <f aca="false">+J23*$L$18</f>
        <v>0.573012498055726</v>
      </c>
      <c r="M23" s="320" t="n">
        <f aca="false">+J23+K23+L23</f>
        <v>119.186599595591</v>
      </c>
    </row>
    <row r="24" customFormat="false" ht="12.75" hidden="false" customHeight="false" outlineLevel="0" collapsed="false">
      <c r="A24" s="319" t="n">
        <v>6</v>
      </c>
      <c r="B24" s="207" t="n">
        <f aca="false">+B23+E24</f>
        <v>46139.3358627662</v>
      </c>
      <c r="C24" s="323" t="n">
        <f aca="false">+$D$11-D24</f>
        <v>749.569731419067</v>
      </c>
      <c r="D24" s="323" t="n">
        <f aca="false">+H23*$B$9/360*E24</f>
        <v>1124.43142913384</v>
      </c>
      <c r="E24" s="208" t="n">
        <v>30</v>
      </c>
      <c r="F24" s="323" t="n">
        <f aca="false">+C24+D24</f>
        <v>1874.00116055291</v>
      </c>
      <c r="G24" s="324" t="n">
        <f aca="false">+F24+M24</f>
        <v>1992.27849625288</v>
      </c>
      <c r="H24" s="320" t="n">
        <f aca="false">+H23-C24</f>
        <v>95630.2670514816</v>
      </c>
      <c r="J24" s="325" t="n">
        <f aca="false">+H23*$J$18</f>
        <v>113.728207403823</v>
      </c>
      <c r="K24" s="323" t="n">
        <f aca="false">+J24*$K$18</f>
        <v>3.9804872591338</v>
      </c>
      <c r="L24" s="323" t="n">
        <f aca="false">+J24*$L$18</f>
        <v>0.568641037019114</v>
      </c>
      <c r="M24" s="320" t="n">
        <f aca="false">+J24+K24+L24</f>
        <v>118.277335699976</v>
      </c>
    </row>
    <row r="25" customFormat="false" ht="12.75" hidden="false" customHeight="false" outlineLevel="0" collapsed="false">
      <c r="A25" s="319" t="n">
        <v>7</v>
      </c>
      <c r="B25" s="207" t="n">
        <f aca="false">+B24+E25</f>
        <v>46169.3358627662</v>
      </c>
      <c r="C25" s="323" t="n">
        <f aca="false">+$D$11-D25</f>
        <v>758.314711618956</v>
      </c>
      <c r="D25" s="323" t="n">
        <f aca="false">+H24*$B$9/360*E25</f>
        <v>1115.68644893395</v>
      </c>
      <c r="E25" s="208" t="n">
        <v>30</v>
      </c>
      <c r="F25" s="323" t="n">
        <f aca="false">+C25+D25</f>
        <v>1874.00116055291</v>
      </c>
      <c r="G25" s="324" t="n">
        <f aca="false">+F25+M25</f>
        <v>1991.35862427849</v>
      </c>
      <c r="H25" s="320" t="n">
        <f aca="false">+H24-C25</f>
        <v>94871.9523398627</v>
      </c>
      <c r="J25" s="325" t="n">
        <f aca="false">+H24*$J$18</f>
        <v>112.843715120748</v>
      </c>
      <c r="K25" s="323" t="n">
        <f aca="false">+J25*$K$18</f>
        <v>3.94953002922619</v>
      </c>
      <c r="L25" s="323" t="n">
        <f aca="false">+J25*$L$18</f>
        <v>0.564218575603742</v>
      </c>
      <c r="M25" s="320" t="n">
        <f aca="false">+J25+K25+L25</f>
        <v>117.357463725578</v>
      </c>
    </row>
    <row r="26" customFormat="false" ht="12.75" hidden="false" customHeight="false" outlineLevel="0" collapsed="false">
      <c r="A26" s="319" t="n">
        <v>8</v>
      </c>
      <c r="B26" s="207" t="n">
        <f aca="true">NOW()</f>
        <v>46079.3358627662</v>
      </c>
      <c r="C26" s="323" t="n">
        <f aca="false">+$D$11-D26</f>
        <v>767.161716587844</v>
      </c>
      <c r="D26" s="323" t="n">
        <f aca="false">+H25*$B$9/360*E26</f>
        <v>1106.83944396506</v>
      </c>
      <c r="E26" s="208" t="n">
        <v>30</v>
      </c>
      <c r="F26" s="323" t="n">
        <f aca="false">+C26+D26</f>
        <v>1874.00116055291</v>
      </c>
      <c r="G26" s="324" t="n">
        <f aca="false">+F26+M26</f>
        <v>1990.42802046439</v>
      </c>
      <c r="H26" s="320" t="n">
        <f aca="false">+H25-C26</f>
        <v>94104.7906232748</v>
      </c>
      <c r="J26" s="325" t="n">
        <f aca="false">+H25*$J$18</f>
        <v>111.948903761038</v>
      </c>
      <c r="K26" s="323" t="n">
        <f aca="false">+J26*$K$18</f>
        <v>3.91821163163633</v>
      </c>
      <c r="L26" s="323" t="n">
        <f aca="false">+J26*$L$18</f>
        <v>0.55974451880519</v>
      </c>
      <c r="M26" s="320" t="n">
        <f aca="false">+J26+K26+L26</f>
        <v>116.426859911479</v>
      </c>
    </row>
    <row r="27" customFormat="false" ht="12.75" hidden="false" customHeight="false" outlineLevel="0" collapsed="false">
      <c r="A27" s="319" t="n">
        <v>9</v>
      </c>
      <c r="B27" s="207" t="n">
        <f aca="false">+B26+E27</f>
        <v>46109.3358627662</v>
      </c>
      <c r="C27" s="323" t="n">
        <f aca="false">+$D$11-D27</f>
        <v>776.111936614702</v>
      </c>
      <c r="D27" s="323" t="n">
        <f aca="false">+H26*$B$9/360*E27</f>
        <v>1097.88922393821</v>
      </c>
      <c r="E27" s="208" t="n">
        <v>30</v>
      </c>
      <c r="F27" s="323" t="n">
        <f aca="false">+C27+D27</f>
        <v>1874.00116055291</v>
      </c>
      <c r="G27" s="324" t="n">
        <f aca="false">+F27+M27</f>
        <v>1989.48655960579</v>
      </c>
      <c r="H27" s="320" t="n">
        <f aca="false">+H26-C27</f>
        <v>93328.6786866601</v>
      </c>
      <c r="J27" s="325" t="n">
        <f aca="false">+H26*$J$18</f>
        <v>111.043652935464</v>
      </c>
      <c r="K27" s="323" t="n">
        <f aca="false">+J27*$K$18</f>
        <v>3.88652785274125</v>
      </c>
      <c r="L27" s="323" t="n">
        <f aca="false">+J27*$L$18</f>
        <v>0.555218264677322</v>
      </c>
      <c r="M27" s="320" t="n">
        <f aca="false">+J27+K27+L27</f>
        <v>115.485399052883</v>
      </c>
    </row>
    <row r="28" customFormat="false" ht="12.75" hidden="false" customHeight="false" outlineLevel="0" collapsed="false">
      <c r="A28" s="319" t="n">
        <v>10</v>
      </c>
      <c r="B28" s="207" t="n">
        <f aca="false">+B27+E28</f>
        <v>46139.3358627662</v>
      </c>
      <c r="C28" s="323" t="n">
        <f aca="false">+$D$11-D28</f>
        <v>785.166575875207</v>
      </c>
      <c r="D28" s="323" t="n">
        <f aca="false">+H27*$B$9/360*E28</f>
        <v>1088.8345846777</v>
      </c>
      <c r="E28" s="208" t="n">
        <v>30</v>
      </c>
      <c r="F28" s="323" t="n">
        <f aca="false">+C28+D28</f>
        <v>1874.00116055291</v>
      </c>
      <c r="G28" s="324" t="n">
        <f aca="false">+F28+M28</f>
        <v>1988.53411503718</v>
      </c>
      <c r="H28" s="320" t="n">
        <f aca="false">+H27-C28</f>
        <v>92543.5121107849</v>
      </c>
      <c r="J28" s="325" t="n">
        <f aca="false">+H27*$J$18</f>
        <v>110.127840850259</v>
      </c>
      <c r="K28" s="323" t="n">
        <f aca="false">+J28*$K$18</f>
        <v>3.85447442975906</v>
      </c>
      <c r="L28" s="323" t="n">
        <f aca="false">+J28*$L$18</f>
        <v>0.550639204251295</v>
      </c>
      <c r="M28" s="320" t="n">
        <f aca="false">+J28+K28+L28</f>
        <v>114.532954484269</v>
      </c>
    </row>
    <row r="29" customFormat="false" ht="12.75" hidden="false" customHeight="false" outlineLevel="0" collapsed="false">
      <c r="A29" s="319" t="n">
        <v>11</v>
      </c>
      <c r="B29" s="207" t="n">
        <f aca="false">+B28+E29</f>
        <v>46169.3358627662</v>
      </c>
      <c r="C29" s="323" t="n">
        <f aca="false">+$D$11-D29</f>
        <v>794.326852593751</v>
      </c>
      <c r="D29" s="323" t="n">
        <f aca="false">+H28*$B$9/360*E29</f>
        <v>1079.67430795916</v>
      </c>
      <c r="E29" s="208" t="n">
        <v>30</v>
      </c>
      <c r="F29" s="323" t="n">
        <f aca="false">+C29+D29</f>
        <v>1874.00116055291</v>
      </c>
      <c r="G29" s="324" t="n">
        <f aca="false">+F29+M29</f>
        <v>1987.57055861526</v>
      </c>
      <c r="H29" s="320" t="n">
        <f aca="false">+H28-C29</f>
        <v>91749.1852581912</v>
      </c>
      <c r="J29" s="325" t="n">
        <f aca="false">+H28*$J$18</f>
        <v>109.201344290726</v>
      </c>
      <c r="K29" s="323" t="n">
        <f aca="false">+J29*$K$18</f>
        <v>3.82204705017542</v>
      </c>
      <c r="L29" s="323" t="n">
        <f aca="false">+J29*$L$18</f>
        <v>0.546006721453631</v>
      </c>
      <c r="M29" s="320" t="n">
        <f aca="false">+J29+K29+L29</f>
        <v>113.569398062355</v>
      </c>
    </row>
    <row r="30" customFormat="false" ht="12.75" hidden="false" customHeight="false" outlineLevel="0" collapsed="false">
      <c r="A30" s="319" t="n">
        <v>12</v>
      </c>
      <c r="B30" s="207" t="n">
        <f aca="true">NOW()</f>
        <v>46079.3358627662</v>
      </c>
      <c r="C30" s="323" t="n">
        <f aca="false">+$D$11-D30</f>
        <v>803.593999207345</v>
      </c>
      <c r="D30" s="323" t="n">
        <f aca="false">+H29*$B$9/360*E30</f>
        <v>1070.40716134556</v>
      </c>
      <c r="E30" s="208" t="n">
        <v>30</v>
      </c>
      <c r="F30" s="323" t="n">
        <f aca="false">+C30+D30</f>
        <v>1874.00116055291</v>
      </c>
      <c r="G30" s="324" t="n">
        <f aca="false">+F30+M30</f>
        <v>1986.59576070176</v>
      </c>
      <c r="H30" s="320" t="n">
        <f aca="false">+H29-C30</f>
        <v>90945.5912589838</v>
      </c>
      <c r="J30" s="325" t="n">
        <f aca="false">+H29*$J$18</f>
        <v>108.264038604666</v>
      </c>
      <c r="K30" s="323" t="n">
        <f aca="false">+J30*$K$18</f>
        <v>3.7892413511633</v>
      </c>
      <c r="L30" s="323" t="n">
        <f aca="false">+J30*$L$18</f>
        <v>0.541320193023328</v>
      </c>
      <c r="M30" s="320" t="n">
        <f aca="false">+J30+K30+L30</f>
        <v>112.594600148852</v>
      </c>
    </row>
    <row r="31" customFormat="false" ht="12.75" hidden="false" customHeight="false" outlineLevel="0" collapsed="false">
      <c r="A31" s="319" t="n">
        <v>13</v>
      </c>
      <c r="B31" s="207" t="n">
        <f aca="false">+B30+E31</f>
        <v>46109.3358627662</v>
      </c>
      <c r="C31" s="323" t="n">
        <f aca="false">+$D$11-D31</f>
        <v>812.969262531431</v>
      </c>
      <c r="D31" s="323" t="n">
        <f aca="false">+H30*$B$9/360*E31</f>
        <v>1061.03189802148</v>
      </c>
      <c r="E31" s="208" t="n">
        <v>30</v>
      </c>
      <c r="F31" s="323" t="n">
        <f aca="false">+C31+D31</f>
        <v>1874.00116055291</v>
      </c>
      <c r="G31" s="324" t="n">
        <f aca="false">+F31+M31</f>
        <v>1985.60959014593</v>
      </c>
      <c r="H31" s="320" t="n">
        <f aca="false">+H30-C31</f>
        <v>90132.6219964524</v>
      </c>
      <c r="J31" s="325" t="n">
        <f aca="false">+H30*$J$18</f>
        <v>107.315797685601</v>
      </c>
      <c r="K31" s="323" t="n">
        <f aca="false">+J31*$K$18</f>
        <v>3.75605291899603</v>
      </c>
      <c r="L31" s="323" t="n">
        <f aca="false">+J31*$L$18</f>
        <v>0.536578988428005</v>
      </c>
      <c r="M31" s="320" t="n">
        <f aca="false">+J31+K31+L31</f>
        <v>111.608429593025</v>
      </c>
    </row>
    <row r="32" customFormat="false" ht="12.75" hidden="false" customHeight="false" outlineLevel="0" collapsed="false">
      <c r="A32" s="319" t="n">
        <v>14</v>
      </c>
      <c r="B32" s="207" t="n">
        <f aca="false">+B31+E32</f>
        <v>46139.3358627662</v>
      </c>
      <c r="C32" s="323" t="n">
        <f aca="false">+$D$11-D32</f>
        <v>822.45390392763</v>
      </c>
      <c r="D32" s="323" t="n">
        <f aca="false">+H31*$B$9/360*E32</f>
        <v>1051.54725662528</v>
      </c>
      <c r="E32" s="208" t="n">
        <v>30</v>
      </c>
      <c r="F32" s="323" t="n">
        <f aca="false">+C32+D32</f>
        <v>1874.00116055291</v>
      </c>
      <c r="G32" s="324" t="n">
        <f aca="false">+F32+M32</f>
        <v>1984.61191426696</v>
      </c>
      <c r="H32" s="320" t="n">
        <f aca="false">+H31-C32</f>
        <v>89310.1680925248</v>
      </c>
      <c r="J32" s="325" t="n">
        <f aca="false">+H31*$J$18</f>
        <v>106.356493955814</v>
      </c>
      <c r="K32" s="323" t="n">
        <f aca="false">+J32*$K$18</f>
        <v>3.72247728845349</v>
      </c>
      <c r="L32" s="323" t="n">
        <f aca="false">+J32*$L$18</f>
        <v>0.531782469779069</v>
      </c>
      <c r="M32" s="320" t="n">
        <f aca="false">+J32+K32+L32</f>
        <v>110.610753714046</v>
      </c>
    </row>
    <row r="33" customFormat="false" ht="12.75" hidden="false" customHeight="false" outlineLevel="0" collapsed="false">
      <c r="A33" s="319" t="n">
        <v>15</v>
      </c>
      <c r="B33" s="207" t="n">
        <f aca="false">+B32+E33</f>
        <v>46169.3358627662</v>
      </c>
      <c r="C33" s="323" t="n">
        <f aca="false">+$D$11-D33</f>
        <v>832.049199473453</v>
      </c>
      <c r="D33" s="323" t="n">
        <f aca="false">+H32*$B$9/360*E33</f>
        <v>1041.95196107946</v>
      </c>
      <c r="E33" s="208" t="n">
        <v>30</v>
      </c>
      <c r="F33" s="323" t="n">
        <f aca="false">+C33+D33</f>
        <v>1874.00116055291</v>
      </c>
      <c r="G33" s="324" t="n">
        <f aca="false">+F33+M33</f>
        <v>1983.60259883606</v>
      </c>
      <c r="H33" s="320" t="n">
        <f aca="false">+H32-C33</f>
        <v>88478.1188930513</v>
      </c>
      <c r="J33" s="325" t="n">
        <f aca="false">+H32*$J$18</f>
        <v>105.385998349179</v>
      </c>
      <c r="K33" s="323" t="n">
        <f aca="false">+J33*$K$18</f>
        <v>3.68850994222127</v>
      </c>
      <c r="L33" s="323" t="n">
        <f aca="false">+J33*$L$18</f>
        <v>0.526929991745896</v>
      </c>
      <c r="M33" s="320" t="n">
        <f aca="false">+J33+K33+L33</f>
        <v>109.601438283146</v>
      </c>
    </row>
    <row r="34" customFormat="false" ht="12.75" hidden="false" customHeight="false" outlineLevel="0" collapsed="false">
      <c r="A34" s="319" t="n">
        <v>16</v>
      </c>
      <c r="B34" s="207" t="n">
        <f aca="true">NOW()</f>
        <v>46079.3358627662</v>
      </c>
      <c r="C34" s="323" t="n">
        <f aca="false">+$D$11-D34</f>
        <v>841.756440133976</v>
      </c>
      <c r="D34" s="323" t="n">
        <f aca="false">+H33*$B$9/360*E34</f>
        <v>1032.24472041893</v>
      </c>
      <c r="E34" s="208" t="n">
        <v>30</v>
      </c>
      <c r="F34" s="323" t="n">
        <f aca="false">+C34+D34</f>
        <v>1874.00116055291</v>
      </c>
      <c r="G34" s="324" t="n">
        <f aca="false">+F34+M34</f>
        <v>1982.58150805846</v>
      </c>
      <c r="H34" s="320" t="n">
        <f aca="false">+H33-C34</f>
        <v>87636.3624529174</v>
      </c>
      <c r="J34" s="325" t="n">
        <f aca="false">+H33*$J$18</f>
        <v>104.404180293801</v>
      </c>
      <c r="K34" s="323" t="n">
        <f aca="false">+J34*$K$18</f>
        <v>3.65414631028302</v>
      </c>
      <c r="L34" s="323" t="n">
        <f aca="false">+J34*$L$18</f>
        <v>0.522020901469003</v>
      </c>
      <c r="M34" s="320" t="n">
        <f aca="false">+J34+K34+L34</f>
        <v>108.580347505553</v>
      </c>
    </row>
    <row r="35" customFormat="false" ht="12.75" hidden="false" customHeight="false" outlineLevel="0" collapsed="false">
      <c r="A35" s="319" t="n">
        <v>17</v>
      </c>
      <c r="B35" s="207" t="n">
        <f aca="false">+B34+E35</f>
        <v>46109.3358627662</v>
      </c>
      <c r="C35" s="323" t="n">
        <f aca="false">+$D$11-D35</f>
        <v>851.57693193554</v>
      </c>
      <c r="D35" s="323" t="n">
        <f aca="false">+H34*$B$9/360*E35</f>
        <v>1022.42422861737</v>
      </c>
      <c r="E35" s="208" t="n">
        <v>30</v>
      </c>
      <c r="F35" s="323" t="n">
        <f aca="false">+C35+D35</f>
        <v>1874.00116055291</v>
      </c>
      <c r="G35" s="324" t="n">
        <f aca="false">+F35+M35</f>
        <v>1981.54850455513</v>
      </c>
      <c r="H35" s="320" t="n">
        <f aca="false">+H34-C35</f>
        <v>86784.7855209818</v>
      </c>
      <c r="J35" s="325" t="n">
        <f aca="false">+H34*$J$18</f>
        <v>103.410907694442</v>
      </c>
      <c r="K35" s="323" t="n">
        <f aca="false">+J35*$K$18</f>
        <v>3.61938176930549</v>
      </c>
      <c r="L35" s="323" t="n">
        <f aca="false">+J35*$L$18</f>
        <v>0.517054538472212</v>
      </c>
      <c r="M35" s="320" t="n">
        <f aca="false">+J35+K35+L35</f>
        <v>107.54734400222</v>
      </c>
    </row>
    <row r="36" customFormat="false" ht="12.75" hidden="false" customHeight="false" outlineLevel="0" collapsed="false">
      <c r="A36" s="319" t="n">
        <v>18</v>
      </c>
      <c r="B36" s="207" t="n">
        <f aca="false">+B35+E36</f>
        <v>46139.3358627662</v>
      </c>
      <c r="C36" s="323" t="n">
        <f aca="false">+$D$11-D36</f>
        <v>861.511996141454</v>
      </c>
      <c r="D36" s="323" t="n">
        <f aca="false">+H35*$B$9/360*E36</f>
        <v>1012.48916441145</v>
      </c>
      <c r="E36" s="208" t="n">
        <v>30</v>
      </c>
      <c r="F36" s="323" t="n">
        <f aca="false">+C36+D36</f>
        <v>1874.00116055291</v>
      </c>
      <c r="G36" s="324" t="n">
        <f aca="false">+F36+M36</f>
        <v>1980.50344934426</v>
      </c>
      <c r="H36" s="320" t="n">
        <f aca="false">+H35-C36</f>
        <v>85923.2735248404</v>
      </c>
      <c r="J36" s="325" t="n">
        <f aca="false">+H35*$J$18</f>
        <v>102.406046914759</v>
      </c>
      <c r="K36" s="323" t="n">
        <f aca="false">+J36*$K$18</f>
        <v>3.58421164201655</v>
      </c>
      <c r="L36" s="323" t="n">
        <f aca="false">+J36*$L$18</f>
        <v>0.512030234573793</v>
      </c>
      <c r="M36" s="320" t="n">
        <f aca="false">+J36+K36+L36</f>
        <v>106.502288791349</v>
      </c>
    </row>
    <row r="37" customFormat="false" ht="12.75" hidden="false" customHeight="false" outlineLevel="0" collapsed="false">
      <c r="A37" s="319" t="n">
        <v>19</v>
      </c>
      <c r="B37" s="207" t="n">
        <f aca="false">+B36+E37</f>
        <v>46169.3358627662</v>
      </c>
      <c r="C37" s="323" t="n">
        <f aca="false">+$D$11-D37</f>
        <v>871.562969429771</v>
      </c>
      <c r="D37" s="323" t="n">
        <f aca="false">+H36*$B$9/360*E37</f>
        <v>1002.43819112314</v>
      </c>
      <c r="E37" s="208" t="n">
        <v>30</v>
      </c>
      <c r="F37" s="323" t="n">
        <f aca="false">+C37+D37</f>
        <v>1874.00116055291</v>
      </c>
      <c r="G37" s="324" t="n">
        <f aca="false">+F37+M37</f>
        <v>1979.44620182259</v>
      </c>
      <c r="H37" s="320" t="n">
        <f aca="false">+H36-C37</f>
        <v>85051.7105554106</v>
      </c>
      <c r="J37" s="325" t="n">
        <f aca="false">+H36*$J$18</f>
        <v>101.389462759312</v>
      </c>
      <c r="K37" s="323" t="n">
        <f aca="false">+J37*$K$18</f>
        <v>3.54863119657591</v>
      </c>
      <c r="L37" s="323" t="n">
        <f aca="false">+J37*$L$18</f>
        <v>0.506947313796558</v>
      </c>
      <c r="M37" s="320" t="n">
        <f aca="false">+J37+K37+L37</f>
        <v>105.445041269684</v>
      </c>
    </row>
    <row r="38" customFormat="false" ht="12.75" hidden="false" customHeight="false" outlineLevel="0" collapsed="false">
      <c r="A38" s="319" t="n">
        <v>20</v>
      </c>
      <c r="B38" s="207" t="n">
        <f aca="true">NOW()</f>
        <v>46079.3358627662</v>
      </c>
      <c r="C38" s="323" t="n">
        <f aca="false">+$D$11-D38</f>
        <v>881.731204073119</v>
      </c>
      <c r="D38" s="323" t="n">
        <f aca="false">+H37*$B$9/360*E38</f>
        <v>992.26995647979</v>
      </c>
      <c r="E38" s="208" t="n">
        <v>30</v>
      </c>
      <c r="F38" s="323" t="n">
        <f aca="false">+C38+D38</f>
        <v>1874.00116055291</v>
      </c>
      <c r="G38" s="324" t="n">
        <f aca="false">+F38+M38</f>
        <v>1978.37661974651</v>
      </c>
      <c r="H38" s="320" t="n">
        <f aca="false">+H37-C38</f>
        <v>84169.9793513375</v>
      </c>
      <c r="J38" s="325" t="n">
        <f aca="false">+H37*$J$18</f>
        <v>100.361018455385</v>
      </c>
      <c r="K38" s="323" t="n">
        <f aca="false">+J38*$K$18</f>
        <v>3.51263564593846</v>
      </c>
      <c r="L38" s="323" t="n">
        <f aca="false">+J38*$L$18</f>
        <v>0.501805092276923</v>
      </c>
      <c r="M38" s="320" t="n">
        <f aca="false">+J38+K38+L38</f>
        <v>104.3754591936</v>
      </c>
    </row>
    <row r="39" customFormat="false" ht="12.75" hidden="false" customHeight="false" outlineLevel="0" collapsed="false">
      <c r="A39" s="319" t="n">
        <v>21</v>
      </c>
      <c r="B39" s="207" t="n">
        <f aca="false">+B38+E39</f>
        <v>46109.3358627662</v>
      </c>
      <c r="C39" s="323" t="n">
        <f aca="false">+$D$11-D39</f>
        <v>892.018068120638</v>
      </c>
      <c r="D39" s="323" t="n">
        <f aca="false">+H38*$B$9/360*E39</f>
        <v>981.983092432271</v>
      </c>
      <c r="E39" s="208" t="n">
        <v>30</v>
      </c>
      <c r="F39" s="323" t="n">
        <f aca="false">+C39+D39</f>
        <v>1874.00116055291</v>
      </c>
      <c r="G39" s="324" t="n">
        <f aca="false">+F39+M39</f>
        <v>1977.29455921287</v>
      </c>
      <c r="H39" s="320" t="n">
        <f aca="false">+H38-C39</f>
        <v>83277.9612832168</v>
      </c>
      <c r="J39" s="325" t="n">
        <f aca="false">+H38*$J$18</f>
        <v>99.3205756345782</v>
      </c>
      <c r="K39" s="323" t="n">
        <f aca="false">+J39*$K$18</f>
        <v>3.47622014721024</v>
      </c>
      <c r="L39" s="323" t="n">
        <f aca="false">+J39*$L$18</f>
        <v>0.496602878172891</v>
      </c>
      <c r="M39" s="320" t="n">
        <f aca="false">+J39+K39+L39</f>
        <v>103.293398659961</v>
      </c>
    </row>
    <row r="40" customFormat="false" ht="12.75" hidden="false" customHeight="false" outlineLevel="0" collapsed="false">
      <c r="A40" s="319" t="n">
        <v>22</v>
      </c>
      <c r="B40" s="207" t="n">
        <f aca="false">+B39+E40</f>
        <v>46139.3358627662</v>
      </c>
      <c r="C40" s="323" t="n">
        <f aca="false">+$D$11-D40</f>
        <v>902.424945582046</v>
      </c>
      <c r="D40" s="323" t="n">
        <f aca="false">+H39*$B$9/360*E40</f>
        <v>971.576214970863</v>
      </c>
      <c r="E40" s="208" t="n">
        <v>30</v>
      </c>
      <c r="F40" s="323" t="n">
        <f aca="false">+C40+D40</f>
        <v>1874.00116055291</v>
      </c>
      <c r="G40" s="324" t="n">
        <f aca="false">+F40+M40</f>
        <v>1976.19987463967</v>
      </c>
      <c r="H40" s="320" t="n">
        <f aca="false">+H39-C40</f>
        <v>82375.5363376348</v>
      </c>
      <c r="J40" s="325" t="n">
        <f aca="false">+H39*$J$18</f>
        <v>98.2679943141959</v>
      </c>
      <c r="K40" s="323" t="n">
        <f aca="false">+J40*$K$18</f>
        <v>3.43937980099686</v>
      </c>
      <c r="L40" s="323" t="n">
        <f aca="false">+J40*$L$18</f>
        <v>0.491339971570979</v>
      </c>
      <c r="M40" s="320" t="n">
        <f aca="false">+J40+K40+L40</f>
        <v>102.198714086764</v>
      </c>
    </row>
    <row r="41" customFormat="false" ht="12.75" hidden="false" customHeight="false" outlineLevel="0" collapsed="false">
      <c r="A41" s="319" t="n">
        <v>23</v>
      </c>
      <c r="B41" s="207" t="n">
        <f aca="false">+B40+E41</f>
        <v>46169.3358627662</v>
      </c>
      <c r="C41" s="323" t="n">
        <f aca="false">+$D$11-D41</f>
        <v>912.953236613836</v>
      </c>
      <c r="D41" s="323" t="n">
        <f aca="false">+H40*$B$9/360*E41</f>
        <v>961.047923939073</v>
      </c>
      <c r="E41" s="208" t="n">
        <v>30</v>
      </c>
      <c r="F41" s="323" t="n">
        <f aca="false">+C41+D41</f>
        <v>1874.00116055291</v>
      </c>
      <c r="G41" s="324" t="n">
        <f aca="false">+F41+M41</f>
        <v>1975.09241874645</v>
      </c>
      <c r="H41" s="320" t="n">
        <f aca="false">+H40-C41</f>
        <v>81462.583101021</v>
      </c>
      <c r="J41" s="325" t="n">
        <f aca="false">+H40*$J$18</f>
        <v>97.2031328784091</v>
      </c>
      <c r="K41" s="323" t="n">
        <f aca="false">+J41*$K$18</f>
        <v>3.40210965074432</v>
      </c>
      <c r="L41" s="323" t="n">
        <f aca="false">+J41*$L$18</f>
        <v>0.486015664392045</v>
      </c>
      <c r="M41" s="320" t="n">
        <f aca="false">+J41+K41+L41</f>
        <v>101.091258193545</v>
      </c>
    </row>
    <row r="42" customFormat="false" ht="12.75" hidden="false" customHeight="false" outlineLevel="0" collapsed="false">
      <c r="A42" s="319" t="n">
        <v>24</v>
      </c>
      <c r="B42" s="207" t="n">
        <f aca="true">NOW()</f>
        <v>46079.3358627662</v>
      </c>
      <c r="C42" s="323" t="n">
        <f aca="false">+$D$11-D42</f>
        <v>923.604357707664</v>
      </c>
      <c r="D42" s="323" t="n">
        <f aca="false">+H41*$B$9/360*E42</f>
        <v>950.396802845245</v>
      </c>
      <c r="E42" s="208" t="n">
        <v>30</v>
      </c>
      <c r="F42" s="323" t="n">
        <f aca="false">+C42+D42</f>
        <v>1874.00116055291</v>
      </c>
      <c r="G42" s="324" t="n">
        <f aca="false">+F42+M42</f>
        <v>1973.97204253448</v>
      </c>
      <c r="H42" s="320" t="n">
        <f aca="false">+H41-C42</f>
        <v>80538.9787433133</v>
      </c>
      <c r="J42" s="325" t="n">
        <f aca="false">+H41*$J$18</f>
        <v>96.1258480592047</v>
      </c>
      <c r="K42" s="323" t="n">
        <f aca="false">+J42*$K$18</f>
        <v>3.36440468207217</v>
      </c>
      <c r="L42" s="323" t="n">
        <f aca="false">+J42*$L$18</f>
        <v>0.480629240296024</v>
      </c>
      <c r="M42" s="320" t="n">
        <f aca="false">+J42+K42+L42</f>
        <v>99.9708819815729</v>
      </c>
    </row>
    <row r="43" customFormat="false" ht="12.75" hidden="false" customHeight="false" outlineLevel="0" collapsed="false">
      <c r="A43" s="319" t="n">
        <v>25</v>
      </c>
      <c r="B43" s="207" t="n">
        <f aca="true">NOW()</f>
        <v>46079.3358627662</v>
      </c>
      <c r="C43" s="323" t="n">
        <f aca="false">+$D$11-D43</f>
        <v>934.37974188092</v>
      </c>
      <c r="D43" s="323" t="n">
        <f aca="false">+H42*$B$9/360*E43</f>
        <v>939.621418671989</v>
      </c>
      <c r="E43" s="208" t="n">
        <v>30</v>
      </c>
      <c r="F43" s="323" t="n">
        <f aca="false">+C43+D43</f>
        <v>1874.00116055291</v>
      </c>
      <c r="G43" s="324" t="n">
        <f aca="false">+F43+M43</f>
        <v>1972.8385952667</v>
      </c>
      <c r="H43" s="320" t="n">
        <f aca="false">+H42-C43</f>
        <v>79604.5990014324</v>
      </c>
      <c r="J43" s="325" t="n">
        <f aca="false">+H42*$J$18</f>
        <v>95.0359949171097</v>
      </c>
      <c r="K43" s="323" t="n">
        <f aca="false">+J43*$K$18</f>
        <v>3.32625982209884</v>
      </c>
      <c r="L43" s="323" t="n">
        <f aca="false">+J43*$L$18</f>
        <v>0.475179974585548</v>
      </c>
      <c r="M43" s="320" t="n">
        <f aca="false">+J43+K43+L43</f>
        <v>98.8374347137941</v>
      </c>
    </row>
    <row r="44" customFormat="false" ht="12.75" hidden="false" customHeight="false" outlineLevel="0" collapsed="false">
      <c r="A44" s="319" t="n">
        <v>26</v>
      </c>
      <c r="B44" s="207" t="n">
        <f aca="false">+B43+E44</f>
        <v>46109.3358627662</v>
      </c>
      <c r="C44" s="323" t="n">
        <f aca="false">+$D$11-D44</f>
        <v>945.280838869531</v>
      </c>
      <c r="D44" s="323" t="n">
        <f aca="false">+H43*$B$9/360*E44</f>
        <v>928.720321683378</v>
      </c>
      <c r="E44" s="208" t="n">
        <v>30</v>
      </c>
      <c r="F44" s="323" t="n">
        <f aca="false">+C44+D44</f>
        <v>1874.00116055291</v>
      </c>
      <c r="G44" s="324" t="n">
        <f aca="false">+F44+M44</f>
        <v>1971.69192444747</v>
      </c>
      <c r="H44" s="320" t="n">
        <f aca="false">+H43-C44</f>
        <v>78659.3181625628</v>
      </c>
      <c r="J44" s="325" t="n">
        <f aca="false">+H43*$J$18</f>
        <v>93.9334268216902</v>
      </c>
      <c r="K44" s="323" t="n">
        <f aca="false">+J44*$K$18</f>
        <v>3.28766993875916</v>
      </c>
      <c r="L44" s="323" t="n">
        <f aca="false">+J44*$L$18</f>
        <v>0.469667134108451</v>
      </c>
      <c r="M44" s="320" t="n">
        <f aca="false">+J44+K44+L44</f>
        <v>97.6907638945578</v>
      </c>
    </row>
    <row r="45" customFormat="false" ht="12.75" hidden="false" customHeight="false" outlineLevel="0" collapsed="false">
      <c r="A45" s="319" t="n">
        <v>27</v>
      </c>
      <c r="B45" s="207" t="n">
        <f aca="false">+B44+E45</f>
        <v>46139.3358627662</v>
      </c>
      <c r="C45" s="323" t="n">
        <f aca="false">+$D$11-D45</f>
        <v>956.309115323009</v>
      </c>
      <c r="D45" s="323" t="n">
        <f aca="false">+H44*$B$9/360*E45</f>
        <v>917.6920452299</v>
      </c>
      <c r="E45" s="208" t="n">
        <v>30</v>
      </c>
      <c r="F45" s="323" t="n">
        <f aca="false">+C45+D45</f>
        <v>1874.00116055291</v>
      </c>
      <c r="G45" s="324" t="n">
        <f aca="false">+F45+M45</f>
        <v>1970.53187580201</v>
      </c>
      <c r="H45" s="320" t="n">
        <f aca="false">+H44-C45</f>
        <v>77703.0090472398</v>
      </c>
      <c r="J45" s="325" t="n">
        <f aca="false">+H44*$J$18</f>
        <v>92.8179954318241</v>
      </c>
      <c r="K45" s="323" t="n">
        <f aca="false">+J45*$K$18</f>
        <v>3.24862984011385</v>
      </c>
      <c r="L45" s="323" t="n">
        <f aca="false">+J45*$L$18</f>
        <v>0.464089977159121</v>
      </c>
      <c r="M45" s="320" t="n">
        <f aca="false">+J45+K45+L45</f>
        <v>96.5307152490971</v>
      </c>
    </row>
    <row r="46" customFormat="false" ht="12.75" hidden="false" customHeight="false" outlineLevel="0" collapsed="false">
      <c r="A46" s="319" t="n">
        <v>28</v>
      </c>
      <c r="B46" s="207" t="n">
        <f aca="false">+B45+E46</f>
        <v>46169.3358627662</v>
      </c>
      <c r="C46" s="323" t="n">
        <f aca="false">+$D$11-D46</f>
        <v>967.466055001777</v>
      </c>
      <c r="D46" s="323" t="n">
        <f aca="false">+H45*$B$9/360*E46</f>
        <v>906.535105551131</v>
      </c>
      <c r="E46" s="208" t="n">
        <v>30</v>
      </c>
      <c r="F46" s="323" t="n">
        <f aca="false">+C46+D46</f>
        <v>1874.00116055291</v>
      </c>
      <c r="G46" s="324" t="n">
        <f aca="false">+F46+M46</f>
        <v>1969.35829325568</v>
      </c>
      <c r="H46" s="320" t="n">
        <f aca="false">+H45-C46</f>
        <v>76735.5429922381</v>
      </c>
      <c r="J46" s="325" t="n">
        <f aca="false">+H45*$J$18</f>
        <v>91.689550675743</v>
      </c>
      <c r="K46" s="323" t="n">
        <f aca="false">+J46*$K$18</f>
        <v>3.20913427365101</v>
      </c>
      <c r="L46" s="323" t="n">
        <f aca="false">+J46*$L$18</f>
        <v>0.458447753378715</v>
      </c>
      <c r="M46" s="320" t="n">
        <f aca="false">+J46+K46+L46</f>
        <v>95.3571327027727</v>
      </c>
    </row>
    <row r="47" customFormat="false" ht="12.75" hidden="false" customHeight="false" outlineLevel="0" collapsed="false">
      <c r="A47" s="319" t="n">
        <v>29</v>
      </c>
      <c r="B47" s="207" t="n">
        <f aca="true">NOW()</f>
        <v>46079.3358627662</v>
      </c>
      <c r="C47" s="323" t="n">
        <f aca="false">+$D$11-D47</f>
        <v>978.753158976798</v>
      </c>
      <c r="D47" s="323" t="n">
        <f aca="false">+H46*$B$9/360*E47</f>
        <v>895.248001576111</v>
      </c>
      <c r="E47" s="208" t="n">
        <v>30</v>
      </c>
      <c r="F47" s="323" t="n">
        <f aca="false">+C47+D47</f>
        <v>1874.00116055291</v>
      </c>
      <c r="G47" s="324" t="n">
        <f aca="false">+F47+M47</f>
        <v>1968.17101891298</v>
      </c>
      <c r="H47" s="320" t="n">
        <f aca="false">+H46-C47</f>
        <v>75756.7898332613</v>
      </c>
      <c r="J47" s="325" t="n">
        <f aca="false">+H46*$J$18</f>
        <v>90.5479407308409</v>
      </c>
      <c r="K47" s="323" t="n">
        <f aca="false">+J47*$K$18</f>
        <v>3.16917792557943</v>
      </c>
      <c r="L47" s="323" t="n">
        <f aca="false">+J47*$L$18</f>
        <v>0.452739703654205</v>
      </c>
      <c r="M47" s="320" t="n">
        <f aca="false">+J47+K47+L47</f>
        <v>94.1698583600745</v>
      </c>
    </row>
    <row r="48" customFormat="false" ht="12.75" hidden="false" customHeight="false" outlineLevel="0" collapsed="false">
      <c r="A48" s="319" t="n">
        <v>30</v>
      </c>
      <c r="B48" s="207" t="n">
        <f aca="false">+B47+E48</f>
        <v>46109.3358627662</v>
      </c>
      <c r="C48" s="323" t="n">
        <f aca="false">+$D$11-D48</f>
        <v>990.171945831527</v>
      </c>
      <c r="D48" s="323" t="n">
        <f aca="false">+H47*$B$9/360*E48</f>
        <v>883.829214721381</v>
      </c>
      <c r="E48" s="208" t="n">
        <v>30</v>
      </c>
      <c r="F48" s="323" t="n">
        <f aca="false">+C48+D48</f>
        <v>1874.00116055291</v>
      </c>
      <c r="G48" s="324" t="n">
        <f aca="false">+F48+M48</f>
        <v>1966.96989303629</v>
      </c>
      <c r="H48" s="320" t="n">
        <f aca="false">+H47-C48</f>
        <v>74766.6178874297</v>
      </c>
      <c r="J48" s="325" t="n">
        <f aca="false">+H47*$J$18</f>
        <v>89.3930120032483</v>
      </c>
      <c r="K48" s="323" t="n">
        <f aca="false">+J48*$K$18</f>
        <v>3.12875542011369</v>
      </c>
      <c r="L48" s="323" t="n">
        <f aca="false">+J48*$L$18</f>
        <v>0.446965060016241</v>
      </c>
      <c r="M48" s="320" t="n">
        <f aca="false">+J48+K48+L48</f>
        <v>92.9687324833782</v>
      </c>
    </row>
    <row r="49" customFormat="false" ht="12.75" hidden="false" customHeight="false" outlineLevel="0" collapsed="false">
      <c r="A49" s="319" t="n">
        <v>31</v>
      </c>
      <c r="B49" s="207" t="n">
        <f aca="false">+B48+E49</f>
        <v>46139.3358627662</v>
      </c>
      <c r="C49" s="323" t="n">
        <f aca="false">+$D$11-D49</f>
        <v>1001.72395186623</v>
      </c>
      <c r="D49" s="323" t="n">
        <f aca="false">+H48*$B$9/360*E49</f>
        <v>872.27720868668</v>
      </c>
      <c r="E49" s="208" t="n">
        <v>30</v>
      </c>
      <c r="F49" s="323" t="n">
        <f aca="false">+C49+D49</f>
        <v>1874.00116055291</v>
      </c>
      <c r="G49" s="324" t="n">
        <f aca="false">+F49+M49</f>
        <v>1965.75475402436</v>
      </c>
      <c r="H49" s="320" t="n">
        <f aca="false">+H48-C49</f>
        <v>73764.8939355635</v>
      </c>
      <c r="J49" s="325" t="n">
        <f aca="false">+H48*$J$18</f>
        <v>88.2246091071671</v>
      </c>
      <c r="K49" s="323" t="n">
        <f aca="false">+J49*$K$18</f>
        <v>3.08786131875085</v>
      </c>
      <c r="L49" s="323" t="n">
        <f aca="false">+J49*$L$18</f>
        <v>0.441123045535835</v>
      </c>
      <c r="M49" s="320" t="n">
        <f aca="false">+J49+K49+L49</f>
        <v>91.7535934714538</v>
      </c>
    </row>
    <row r="50" customFormat="false" ht="12.75" hidden="false" customHeight="false" outlineLevel="0" collapsed="false">
      <c r="A50" s="319" t="n">
        <v>32</v>
      </c>
      <c r="B50" s="207" t="n">
        <f aca="false">+B49+E50</f>
        <v>46169.3358627662</v>
      </c>
      <c r="C50" s="323" t="n">
        <f aca="false">+$D$11-D50</f>
        <v>1013.41073130467</v>
      </c>
      <c r="D50" s="323" t="n">
        <f aca="false">+H49*$B$9/360*E50</f>
        <v>860.590429248241</v>
      </c>
      <c r="E50" s="208" t="n">
        <v>30</v>
      </c>
      <c r="F50" s="323" t="n">
        <f aca="false">+C50+D50</f>
        <v>1874.00116055291</v>
      </c>
      <c r="G50" s="324" t="n">
        <f aca="false">+F50+M50</f>
        <v>1964.52543839063</v>
      </c>
      <c r="H50" s="320" t="n">
        <f aca="false">+H49-C50</f>
        <v>72751.4832042588</v>
      </c>
      <c r="J50" s="325" t="n">
        <f aca="false">+H49*$J$18</f>
        <v>87.0425748439649</v>
      </c>
      <c r="K50" s="323" t="n">
        <f aca="false">+J50*$K$18</f>
        <v>3.04649011953877</v>
      </c>
      <c r="L50" s="323" t="n">
        <f aca="false">+J50*$L$18</f>
        <v>0.435212874219825</v>
      </c>
      <c r="M50" s="320" t="n">
        <f aca="false">+J50+K50+L50</f>
        <v>90.5242778377236</v>
      </c>
    </row>
    <row r="51" customFormat="false" ht="12.75" hidden="false" customHeight="false" outlineLevel="0" collapsed="false">
      <c r="A51" s="319" t="n">
        <v>33</v>
      </c>
      <c r="B51" s="207" t="n">
        <f aca="true">NOW()</f>
        <v>46079.3358628241</v>
      </c>
      <c r="C51" s="323" t="n">
        <f aca="false">+$D$11-D51</f>
        <v>1025.23385650322</v>
      </c>
      <c r="D51" s="323" t="n">
        <f aca="false">+H50*$B$9/360*E51</f>
        <v>848.767304049687</v>
      </c>
      <c r="E51" s="208" t="n">
        <v>30</v>
      </c>
      <c r="F51" s="323" t="n">
        <f aca="false">+C51+D51</f>
        <v>1874.00116055291</v>
      </c>
      <c r="G51" s="324" t="n">
        <f aca="false">+F51+M51</f>
        <v>1963.28178074118</v>
      </c>
      <c r="H51" s="320" t="n">
        <f aca="false">+H50-C51</f>
        <v>71726.2493477556</v>
      </c>
      <c r="J51" s="325" t="n">
        <f aca="false">+H50*$J$18</f>
        <v>85.8467501810254</v>
      </c>
      <c r="K51" s="323" t="n">
        <f aca="false">+J51*$K$18</f>
        <v>3.00463625633589</v>
      </c>
      <c r="L51" s="323" t="n">
        <f aca="false">+J51*$L$18</f>
        <v>0.429233750905127</v>
      </c>
      <c r="M51" s="320" t="n">
        <f aca="false">+J51+K51+L51</f>
        <v>89.2806201882664</v>
      </c>
    </row>
    <row r="52" customFormat="false" ht="12.75" hidden="false" customHeight="false" outlineLevel="0" collapsed="false">
      <c r="A52" s="319" t="n">
        <v>34</v>
      </c>
      <c r="B52" s="207" t="n">
        <f aca="false">+B51+E52</f>
        <v>46109.3358628241</v>
      </c>
      <c r="C52" s="323" t="n">
        <f aca="false">+$D$11-D52</f>
        <v>1037.19491816243</v>
      </c>
      <c r="D52" s="323" t="n">
        <f aca="false">+H51*$B$9/360*E52</f>
        <v>836.806242390482</v>
      </c>
      <c r="E52" s="208" t="n">
        <v>30</v>
      </c>
      <c r="F52" s="323" t="n">
        <f aca="false">+C52+D52</f>
        <v>1874.00116055291</v>
      </c>
      <c r="G52" s="324" t="n">
        <f aca="false">+F52+M52</f>
        <v>1962.02361375247</v>
      </c>
      <c r="H52" s="320" t="n">
        <f aca="false">+H51-C52</f>
        <v>70689.0544295932</v>
      </c>
      <c r="J52" s="325" t="n">
        <f aca="false">+H51*$J$18</f>
        <v>84.6369742303516</v>
      </c>
      <c r="K52" s="323" t="n">
        <f aca="false">+J52*$K$18</f>
        <v>2.96229409806231</v>
      </c>
      <c r="L52" s="323" t="n">
        <f aca="false">+J52*$L$18</f>
        <v>0.423184871151758</v>
      </c>
      <c r="M52" s="320" t="n">
        <f aca="false">+J52+K52+L52</f>
        <v>88.0224531995657</v>
      </c>
    </row>
    <row r="53" customFormat="false" ht="12.75" hidden="false" customHeight="false" outlineLevel="0" collapsed="false">
      <c r="A53" s="319" t="n">
        <v>35</v>
      </c>
      <c r="B53" s="207" t="n">
        <f aca="false">+B52+E53</f>
        <v>46139.3358628241</v>
      </c>
      <c r="C53" s="323" t="n">
        <f aca="false">+$D$11-D53</f>
        <v>1049.29552554099</v>
      </c>
      <c r="D53" s="323" t="n">
        <f aca="false">+H52*$B$9/360*E53</f>
        <v>824.705635011921</v>
      </c>
      <c r="E53" s="208" t="n">
        <v>30</v>
      </c>
      <c r="F53" s="323" t="n">
        <f aca="false">+C53+D53</f>
        <v>1874.00116055291</v>
      </c>
      <c r="G53" s="324" t="n">
        <f aca="false">+F53+M53</f>
        <v>1960.75076814891</v>
      </c>
      <c r="H53" s="320" t="n">
        <f aca="false">+H52-C53</f>
        <v>69639.7589040522</v>
      </c>
      <c r="J53" s="325" t="n">
        <f aca="false">+H52*$J$18</f>
        <v>83.41308422692</v>
      </c>
      <c r="K53" s="323" t="n">
        <f aca="false">+J53*$K$18</f>
        <v>2.9194579479422</v>
      </c>
      <c r="L53" s="323" t="n">
        <f aca="false">+J53*$L$18</f>
        <v>0.4170654211346</v>
      </c>
      <c r="M53" s="320" t="n">
        <f aca="false">+J53+K53+L53</f>
        <v>86.7496075959968</v>
      </c>
    </row>
    <row r="54" customFormat="false" ht="12.75" hidden="false" customHeight="false" outlineLevel="0" collapsed="false">
      <c r="A54" s="319" t="n">
        <v>36</v>
      </c>
      <c r="B54" s="207" t="n">
        <f aca="false">+B53+E54</f>
        <v>46169.3358628241</v>
      </c>
      <c r="C54" s="323" t="n">
        <f aca="false">+$D$11-D54</f>
        <v>1061.5373066723</v>
      </c>
      <c r="D54" s="323" t="n">
        <f aca="false">+H53*$B$9/360*E54</f>
        <v>812.463853880609</v>
      </c>
      <c r="E54" s="208" t="n">
        <v>30</v>
      </c>
      <c r="F54" s="323" t="n">
        <f aca="false">+C54+D54</f>
        <v>1874.00116055291</v>
      </c>
      <c r="G54" s="324" t="n">
        <f aca="false">+F54+M54</f>
        <v>1959.46307267996</v>
      </c>
      <c r="H54" s="320" t="n">
        <f aca="false">+H53-C54</f>
        <v>68578.2215973799</v>
      </c>
      <c r="J54" s="325" t="n">
        <f aca="false">+H53*$J$18</f>
        <v>82.1749155067816</v>
      </c>
      <c r="K54" s="323" t="n">
        <f aca="false">+J54*$K$18</f>
        <v>2.87612204273736</v>
      </c>
      <c r="L54" s="323" t="n">
        <f aca="false">+J54*$L$18</f>
        <v>0.410874577533908</v>
      </c>
      <c r="M54" s="320" t="n">
        <f aca="false">+J54+K54+L54</f>
        <v>85.4619121270529</v>
      </c>
    </row>
    <row r="55" customFormat="false" ht="12.75" hidden="false" customHeight="false" outlineLevel="0" collapsed="false">
      <c r="A55" s="319" t="n">
        <v>37</v>
      </c>
      <c r="B55" s="207" t="n">
        <f aca="true">NOW()</f>
        <v>46079.3358628241</v>
      </c>
      <c r="C55" s="323" t="n">
        <f aca="false">+$D$11-D55</f>
        <v>1073.92190858348</v>
      </c>
      <c r="D55" s="323" t="n">
        <f aca="false">+H54*$B$9/360*E55</f>
        <v>800.079251969432</v>
      </c>
      <c r="E55" s="208" t="n">
        <v>30</v>
      </c>
      <c r="F55" s="323" t="n">
        <f aca="false">+C55+D55</f>
        <v>1874.00116055291</v>
      </c>
      <c r="G55" s="324" t="n">
        <f aca="false">+F55+M55</f>
        <v>1958.16035409721</v>
      </c>
      <c r="H55" s="320" t="n">
        <f aca="false">+H54-C55</f>
        <v>67504.2996887964</v>
      </c>
      <c r="J55" s="325" t="n">
        <f aca="false">+H54*$J$18</f>
        <v>80.9223014849083</v>
      </c>
      <c r="K55" s="323" t="n">
        <f aca="false">+J55*$K$18</f>
        <v>2.83228055197179</v>
      </c>
      <c r="L55" s="323" t="n">
        <f aca="false">+J55*$L$18</f>
        <v>0.404611507424541</v>
      </c>
      <c r="M55" s="320" t="n">
        <f aca="false">+J55+K55+L55</f>
        <v>84.1591935443046</v>
      </c>
    </row>
    <row r="56" customFormat="false" ht="12.75" hidden="false" customHeight="false" outlineLevel="0" collapsed="false">
      <c r="A56" s="319" t="n">
        <v>38</v>
      </c>
      <c r="B56" s="207" t="n">
        <f aca="false">+B55+E56</f>
        <v>46109.3358628241</v>
      </c>
      <c r="C56" s="323" t="n">
        <f aca="false">+$D$11-D56</f>
        <v>1086.45099751695</v>
      </c>
      <c r="D56" s="323" t="n">
        <f aca="false">+H55*$B$9/360*E56</f>
        <v>787.550163035959</v>
      </c>
      <c r="E56" s="208" t="n">
        <v>30</v>
      </c>
      <c r="F56" s="323" t="n">
        <f aca="false">+C56+D56</f>
        <v>1874.00116055291</v>
      </c>
      <c r="G56" s="324" t="n">
        <f aca="false">+F56+M56</f>
        <v>1956.842437131</v>
      </c>
      <c r="H56" s="320" t="n">
        <f aca="false">+H55-C56</f>
        <v>66417.8486912795</v>
      </c>
      <c r="J56" s="325" t="n">
        <f aca="false">+H55*$J$18</f>
        <v>79.6550736327798</v>
      </c>
      <c r="K56" s="323" t="n">
        <f aca="false">+J56*$K$18</f>
        <v>2.78792757714729</v>
      </c>
      <c r="L56" s="323" t="n">
        <f aca="false">+J56*$L$18</f>
        <v>0.398275368163899</v>
      </c>
      <c r="M56" s="320" t="n">
        <f aca="false">+J56+K56+L56</f>
        <v>82.841276578091</v>
      </c>
    </row>
    <row r="57" customFormat="false" ht="12.75" hidden="false" customHeight="false" outlineLevel="0" collapsed="false">
      <c r="A57" s="319" t="n">
        <v>39</v>
      </c>
      <c r="B57" s="207" t="n">
        <f aca="false">+B56+E57</f>
        <v>46139.3358628241</v>
      </c>
      <c r="C57" s="323" t="n">
        <f aca="false">+$D$11-D57</f>
        <v>1099.12625915465</v>
      </c>
      <c r="D57" s="323" t="n">
        <f aca="false">+H56*$B$9/360*E57</f>
        <v>774.874901398261</v>
      </c>
      <c r="E57" s="208" t="n">
        <v>30</v>
      </c>
      <c r="F57" s="323" t="n">
        <f aca="false">+C57+D57</f>
        <v>1874.00116055291</v>
      </c>
      <c r="G57" s="324" t="n">
        <f aca="false">+F57+M57</f>
        <v>1955.50914446685</v>
      </c>
      <c r="H57" s="320" t="n">
        <f aca="false">+H56-C57</f>
        <v>65318.7224321248</v>
      </c>
      <c r="J57" s="325" t="n">
        <f aca="false">+H56*$J$18</f>
        <v>78.3730614557098</v>
      </c>
      <c r="K57" s="323" t="n">
        <f aca="false">+J57*$K$18</f>
        <v>2.74305715094984</v>
      </c>
      <c r="L57" s="323" t="n">
        <f aca="false">+J57*$L$18</f>
        <v>0.391865307278549</v>
      </c>
      <c r="M57" s="320" t="n">
        <f aca="false">+J57+K57+L57</f>
        <v>81.5079839139382</v>
      </c>
    </row>
    <row r="58" customFormat="false" ht="12.75" hidden="false" customHeight="false" outlineLevel="0" collapsed="false">
      <c r="A58" s="319" t="n">
        <v>40</v>
      </c>
      <c r="B58" s="207" t="n">
        <f aca="false">+B57+E58</f>
        <v>46169.3358628241</v>
      </c>
      <c r="C58" s="323" t="n">
        <f aca="false">+$D$11-D58</f>
        <v>1111.94939884479</v>
      </c>
      <c r="D58" s="323" t="n">
        <f aca="false">+H57*$B$9/360*E58</f>
        <v>762.051761708123</v>
      </c>
      <c r="E58" s="208" t="n">
        <v>30</v>
      </c>
      <c r="F58" s="323" t="n">
        <f aca="false">+C58+D58</f>
        <v>1874.00116055291</v>
      </c>
      <c r="G58" s="324" t="n">
        <f aca="false">+F58+M58</f>
        <v>1954.16029672161</v>
      </c>
      <c r="H58" s="320" t="n">
        <f aca="false">+H57-C58</f>
        <v>64206.77303328</v>
      </c>
      <c r="J58" s="325" t="n">
        <f aca="false">+H57*$J$18</f>
        <v>77.0760924699073</v>
      </c>
      <c r="K58" s="323" t="n">
        <f aca="false">+J58*$K$18</f>
        <v>2.69766323644676</v>
      </c>
      <c r="L58" s="323" t="n">
        <f aca="false">+J58*$L$18</f>
        <v>0.385380462349537</v>
      </c>
      <c r="M58" s="320" t="n">
        <f aca="false">+J58+K58+L58</f>
        <v>80.1591361687036</v>
      </c>
    </row>
    <row r="59" customFormat="false" ht="12.75" hidden="false" customHeight="false" outlineLevel="0" collapsed="false">
      <c r="A59" s="319" t="n">
        <v>41</v>
      </c>
      <c r="B59" s="207" t="n">
        <f aca="true">NOW()</f>
        <v>46079.3358628241</v>
      </c>
      <c r="C59" s="323" t="n">
        <f aca="false">+$D$11-D59</f>
        <v>1124.92214183131</v>
      </c>
      <c r="D59" s="323" t="n">
        <f aca="false">+H58*$B$9/360*E59</f>
        <v>749.079018721601</v>
      </c>
      <c r="E59" s="208" t="n">
        <v>30</v>
      </c>
      <c r="F59" s="323" t="n">
        <f aca="false">+C59+D59</f>
        <v>1874.00116055291</v>
      </c>
      <c r="G59" s="324" t="n">
        <f aca="false">+F59+M59</f>
        <v>1952.79571241935</v>
      </c>
      <c r="H59" s="320" t="n">
        <f aca="false">+H58-C59</f>
        <v>63081.8508914487</v>
      </c>
      <c r="J59" s="325" t="n">
        <f aca="false">+H58*$J$18</f>
        <v>75.7639921792705</v>
      </c>
      <c r="K59" s="323" t="n">
        <f aca="false">+J59*$K$18</f>
        <v>2.65173972627447</v>
      </c>
      <c r="L59" s="323" t="n">
        <f aca="false">+J59*$L$18</f>
        <v>0.378819960896352</v>
      </c>
      <c r="M59" s="320" t="n">
        <f aca="false">+J59+K59+L59</f>
        <v>78.7945518664413</v>
      </c>
    </row>
    <row r="60" customFormat="false" ht="12.75" hidden="false" customHeight="false" outlineLevel="0" collapsed="false">
      <c r="A60" s="319" t="n">
        <v>42</v>
      </c>
      <c r="B60" s="207" t="n">
        <f aca="false">+B59+E60</f>
        <v>46109.3358628241</v>
      </c>
      <c r="C60" s="323" t="n">
        <f aca="false">+$D$11-D60</f>
        <v>1138.04623348601</v>
      </c>
      <c r="D60" s="323" t="n">
        <f aca="false">+H59*$B$9/360*E60</f>
        <v>735.954927066902</v>
      </c>
      <c r="E60" s="208" t="n">
        <v>30</v>
      </c>
      <c r="F60" s="323" t="n">
        <f aca="false">+C60+D60</f>
        <v>1874.00116055291</v>
      </c>
      <c r="G60" s="324" t="n">
        <f aca="false">+F60+M60</f>
        <v>1951.41520796689</v>
      </c>
      <c r="H60" s="320" t="n">
        <f aca="false">+H59-C60</f>
        <v>61943.8046579627</v>
      </c>
      <c r="J60" s="325" t="n">
        <f aca="false">+H59*$J$18</f>
        <v>74.4365840519095</v>
      </c>
      <c r="K60" s="323" t="n">
        <f aca="false">+J60*$K$18</f>
        <v>2.60528044181683</v>
      </c>
      <c r="L60" s="323" t="n">
        <f aca="false">+J60*$L$18</f>
        <v>0.372182920259548</v>
      </c>
      <c r="M60" s="320" t="n">
        <f aca="false">+J60+K60+L60</f>
        <v>77.4140474139859</v>
      </c>
    </row>
    <row r="61" customFormat="false" ht="12.75" hidden="false" customHeight="false" outlineLevel="0" collapsed="false">
      <c r="A61" s="319" t="n">
        <v>43</v>
      </c>
      <c r="B61" s="207" t="n">
        <f aca="false">+B60+E61</f>
        <v>46139.3358628241</v>
      </c>
      <c r="C61" s="323" t="n">
        <f aca="false">+$D$11-D61</f>
        <v>1151.32343954334</v>
      </c>
      <c r="D61" s="323" t="n">
        <f aca="false">+H60*$B$9/360*E61</f>
        <v>722.677721009565</v>
      </c>
      <c r="E61" s="208" t="n">
        <v>30</v>
      </c>
      <c r="F61" s="323" t="n">
        <f aca="false">+C61+D61</f>
        <v>1874.00116055291</v>
      </c>
      <c r="G61" s="324" t="n">
        <f aca="false">+F61+M61</f>
        <v>1950.01859762916</v>
      </c>
      <c r="H61" s="320" t="n">
        <f aca="false">+H60-C61</f>
        <v>60792.4812184194</v>
      </c>
      <c r="J61" s="325" t="n">
        <f aca="false">+H60*$J$18</f>
        <v>73.093689496396</v>
      </c>
      <c r="K61" s="323" t="n">
        <f aca="false">+J61*$K$18</f>
        <v>2.55827913237386</v>
      </c>
      <c r="L61" s="323" t="n">
        <f aca="false">+J61*$L$18</f>
        <v>0.36546844748198</v>
      </c>
      <c r="M61" s="320" t="n">
        <f aca="false">+J61+K61+L61</f>
        <v>76.0174370762519</v>
      </c>
    </row>
    <row r="62" customFormat="false" ht="12.75" hidden="false" customHeight="false" outlineLevel="0" collapsed="false">
      <c r="A62" s="319" t="n">
        <v>44</v>
      </c>
      <c r="B62" s="207" t="n">
        <f aca="false">+B61+E62</f>
        <v>46169.3358628241</v>
      </c>
      <c r="C62" s="323" t="n">
        <f aca="false">+$D$11-D62</f>
        <v>1164.75554633802</v>
      </c>
      <c r="D62" s="323" t="n">
        <f aca="false">+H61*$B$9/360*E62</f>
        <v>709.245614214893</v>
      </c>
      <c r="E62" s="208" t="n">
        <v>30</v>
      </c>
      <c r="F62" s="323" t="n">
        <f aca="false">+C62+D62</f>
        <v>1874.00116055291</v>
      </c>
      <c r="G62" s="324" t="n">
        <f aca="false">+F62+M62</f>
        <v>1948.60569350415</v>
      </c>
      <c r="H62" s="320" t="n">
        <f aca="false">+H61-C62</f>
        <v>59627.7256720814</v>
      </c>
      <c r="J62" s="325" t="n">
        <f aca="false">+H61*$J$18</f>
        <v>71.7351278377349</v>
      </c>
      <c r="K62" s="323" t="n">
        <f aca="false">+J62*$K$18</f>
        <v>2.51072947432072</v>
      </c>
      <c r="L62" s="323" t="n">
        <f aca="false">+J62*$L$18</f>
        <v>0.358675639188674</v>
      </c>
      <c r="M62" s="320" t="n">
        <f aca="false">+J62+K62+L62</f>
        <v>74.6045329512443</v>
      </c>
    </row>
    <row r="63" customFormat="false" ht="12.75" hidden="false" customHeight="false" outlineLevel="0" collapsed="false">
      <c r="A63" s="319" t="n">
        <v>45</v>
      </c>
      <c r="B63" s="207" t="n">
        <f aca="true">NOW()</f>
        <v>46079.3358628241</v>
      </c>
      <c r="C63" s="323" t="n">
        <f aca="false">+$D$11-D63</f>
        <v>1178.34436104529</v>
      </c>
      <c r="D63" s="323" t="n">
        <f aca="false">+H62*$B$9/360*E63</f>
        <v>695.656799507616</v>
      </c>
      <c r="E63" s="208" t="n">
        <v>30</v>
      </c>
      <c r="F63" s="323" t="n">
        <f aca="false">+C63+D63</f>
        <v>1874.00116055291</v>
      </c>
      <c r="G63" s="324" t="n">
        <f aca="false">+F63+M63</f>
        <v>1947.17630549769</v>
      </c>
      <c r="H63" s="320" t="n">
        <f aca="false">+H62-C63</f>
        <v>58449.3813110361</v>
      </c>
      <c r="J63" s="325" t="n">
        <f aca="false">+H62*$J$18</f>
        <v>70.360716293056</v>
      </c>
      <c r="K63" s="323" t="n">
        <f aca="false">+J63*$K$18</f>
        <v>2.46262507025696</v>
      </c>
      <c r="L63" s="323" t="n">
        <f aca="false">+J63*$L$18</f>
        <v>0.35180358146528</v>
      </c>
      <c r="M63" s="320" t="n">
        <f aca="false">+J63+K63+L63</f>
        <v>73.1751449447783</v>
      </c>
    </row>
    <row r="64" customFormat="false" ht="12.75" hidden="false" customHeight="false" outlineLevel="0" collapsed="false">
      <c r="A64" s="319" t="n">
        <v>46</v>
      </c>
      <c r="B64" s="207" t="n">
        <f aca="false">+B63+E64</f>
        <v>46109.3358628241</v>
      </c>
      <c r="C64" s="323" t="n">
        <f aca="false">+$D$11-D64</f>
        <v>1192.09171192415</v>
      </c>
      <c r="D64" s="323" t="n">
        <f aca="false">+H63*$B$9/360*E64</f>
        <v>681.909448628754</v>
      </c>
      <c r="E64" s="208" t="n">
        <v>30</v>
      </c>
      <c r="F64" s="323" t="n">
        <f aca="false">+C64+D64</f>
        <v>1874.00116055291</v>
      </c>
      <c r="G64" s="324" t="n">
        <f aca="false">+F64+M64</f>
        <v>1945.73024129781</v>
      </c>
      <c r="H64" s="320" t="n">
        <f aca="false">+H63-C64</f>
        <v>57257.2895991119</v>
      </c>
      <c r="J64" s="325" t="n">
        <f aca="false">+H63*$J$18</f>
        <v>68.9702699470226</v>
      </c>
      <c r="K64" s="323" t="n">
        <f aca="false">+J64*$K$18</f>
        <v>2.41395944814579</v>
      </c>
      <c r="L64" s="323" t="n">
        <f aca="false">+J64*$L$18</f>
        <v>0.344851349735113</v>
      </c>
      <c r="M64" s="320" t="n">
        <f aca="false">+J64+K64+L64</f>
        <v>71.7290807449035</v>
      </c>
    </row>
    <row r="65" customFormat="false" ht="12.75" hidden="false" customHeight="false" outlineLevel="0" collapsed="false">
      <c r="A65" s="319" t="n">
        <v>47</v>
      </c>
      <c r="B65" s="207" t="n">
        <f aca="false">+B64+E65</f>
        <v>46139.3358628241</v>
      </c>
      <c r="C65" s="323" t="n">
        <f aca="false">+$D$11-D65</f>
        <v>1205.99944856327</v>
      </c>
      <c r="D65" s="323" t="n">
        <f aca="false">+H64*$B$9/360*E65</f>
        <v>668.001711989639</v>
      </c>
      <c r="E65" s="208" t="n">
        <v>30</v>
      </c>
      <c r="F65" s="323" t="n">
        <f aca="false">+C65+D65</f>
        <v>1874.00116055291</v>
      </c>
      <c r="G65" s="324" t="n">
        <f aca="false">+F65+M65</f>
        <v>1944.26730634894</v>
      </c>
      <c r="H65" s="320" t="n">
        <f aca="false">+H64-C65</f>
        <v>56051.2901505486</v>
      </c>
      <c r="J65" s="325" t="n">
        <f aca="false">+H64*$J$18</f>
        <v>67.5636017269521</v>
      </c>
      <c r="K65" s="323" t="n">
        <f aca="false">+J65*$K$18</f>
        <v>2.36472606044332</v>
      </c>
      <c r="L65" s="323" t="n">
        <f aca="false">+J65*$L$18</f>
        <v>0.33781800863476</v>
      </c>
      <c r="M65" s="320" t="n">
        <f aca="false">+J65+K65+L65</f>
        <v>70.2661457960301</v>
      </c>
    </row>
    <row r="66" customFormat="false" ht="12.75" hidden="false" customHeight="false" outlineLevel="0" collapsed="false">
      <c r="A66" s="319" t="n">
        <v>48</v>
      </c>
      <c r="B66" s="207" t="n">
        <f aca="false">+B65+E66</f>
        <v>46169.3358628241</v>
      </c>
      <c r="C66" s="323" t="n">
        <f aca="false">+$D$11-D66</f>
        <v>1220.06944212984</v>
      </c>
      <c r="D66" s="323" t="n">
        <f aca="false">+H65*$B$9/360*E66</f>
        <v>653.931718423067</v>
      </c>
      <c r="E66" s="208" t="n">
        <v>30</v>
      </c>
      <c r="F66" s="323" t="n">
        <f aca="false">+C66+D66</f>
        <v>1874.00116055291</v>
      </c>
      <c r="G66" s="324" t="n">
        <f aca="false">+F66+M66</f>
        <v>1942.78730382566</v>
      </c>
      <c r="H66" s="320" t="n">
        <f aca="false">+H65-C66</f>
        <v>54831.2207084188</v>
      </c>
      <c r="J66" s="325" t="n">
        <f aca="false">+H65*$J$18</f>
        <v>66.1405223776474</v>
      </c>
      <c r="K66" s="323" t="n">
        <f aca="false">+J66*$K$18</f>
        <v>2.31491828321766</v>
      </c>
      <c r="L66" s="323" t="n">
        <f aca="false">+J66*$L$18</f>
        <v>0.330702611888237</v>
      </c>
      <c r="M66" s="320" t="n">
        <f aca="false">+J66+K66+L66</f>
        <v>68.7861432727533</v>
      </c>
    </row>
    <row r="67" customFormat="false" ht="12.75" hidden="false" customHeight="false" outlineLevel="0" collapsed="false">
      <c r="A67" s="319" t="n">
        <v>49</v>
      </c>
      <c r="B67" s="207" t="n">
        <f aca="true">NOW()</f>
        <v>46079.3358628241</v>
      </c>
      <c r="C67" s="323" t="n">
        <f aca="false">+$D$11-D67</f>
        <v>1234.30358562136</v>
      </c>
      <c r="D67" s="323" t="n">
        <f aca="false">+H66*$B$9/360*E67</f>
        <v>639.697574931553</v>
      </c>
      <c r="E67" s="208" t="n">
        <v>30</v>
      </c>
      <c r="F67" s="323" t="n">
        <f aca="false">+C67+D67</f>
        <v>1874.00116055291</v>
      </c>
      <c r="G67" s="324" t="n">
        <f aca="false">+F67+M67</f>
        <v>1941.29003460628</v>
      </c>
      <c r="H67" s="320" t="n">
        <f aca="false">+H66-C67</f>
        <v>53596.9171227974</v>
      </c>
      <c r="J67" s="325" t="n">
        <f aca="false">+H66*$J$18</f>
        <v>64.7008404359342</v>
      </c>
      <c r="K67" s="323" t="n">
        <f aca="false">+J67*$K$18</f>
        <v>2.2645294152577</v>
      </c>
      <c r="L67" s="323" t="n">
        <f aca="false">+J67*$L$18</f>
        <v>0.323504202179671</v>
      </c>
      <c r="M67" s="320" t="n">
        <f aca="false">+J67+K67+L67</f>
        <v>67.2888740533716</v>
      </c>
    </row>
    <row r="68" customFormat="false" ht="12.75" hidden="false" customHeight="false" outlineLevel="0" collapsed="false">
      <c r="A68" s="319" t="n">
        <v>50</v>
      </c>
      <c r="B68" s="207" t="n">
        <f aca="true">NOW()</f>
        <v>46079.3358628241</v>
      </c>
      <c r="C68" s="323" t="n">
        <f aca="false">+$D$11-D68</f>
        <v>1248.70379412027</v>
      </c>
      <c r="D68" s="323" t="n">
        <f aca="false">+H67*$B$9/360*E68</f>
        <v>625.297366432637</v>
      </c>
      <c r="E68" s="208" t="n">
        <v>30</v>
      </c>
      <c r="F68" s="323" t="n">
        <f aca="false">+C68+D68</f>
        <v>1874.00116055291</v>
      </c>
      <c r="G68" s="324" t="n">
        <f aca="false">+F68+M68</f>
        <v>1939.77529724601</v>
      </c>
      <c r="H68" s="320" t="n">
        <f aca="false">+H67-C68</f>
        <v>52348.2133286772</v>
      </c>
      <c r="J68" s="325" t="n">
        <f aca="false">+H67*$J$18</f>
        <v>63.244362204901</v>
      </c>
      <c r="K68" s="323" t="n">
        <f aca="false">+J68*$K$18</f>
        <v>2.21355267717154</v>
      </c>
      <c r="L68" s="323" t="n">
        <f aca="false">+J68*$L$18</f>
        <v>0.316221811024505</v>
      </c>
      <c r="M68" s="320" t="n">
        <f aca="false">+J68+K68+L68</f>
        <v>65.774136693097</v>
      </c>
    </row>
    <row r="69" customFormat="false" ht="12.75" hidden="false" customHeight="false" outlineLevel="0" collapsed="false">
      <c r="A69" s="319" t="n">
        <v>51</v>
      </c>
      <c r="B69" s="207" t="n">
        <f aca="false">+B68+E69</f>
        <v>46109.3358628241</v>
      </c>
      <c r="C69" s="323" t="n">
        <f aca="false">+$D$11-D69</f>
        <v>1263.27200505168</v>
      </c>
      <c r="D69" s="323" t="n">
        <f aca="false">+H68*$B$9/360*E69</f>
        <v>610.729155501234</v>
      </c>
      <c r="E69" s="208" t="n">
        <v>30</v>
      </c>
      <c r="F69" s="323" t="n">
        <f aca="false">+C69+D69</f>
        <v>1874.00116055291</v>
      </c>
      <c r="G69" s="324" t="n">
        <f aca="false">+F69+M69</f>
        <v>1938.24288794986</v>
      </c>
      <c r="H69" s="320" t="n">
        <f aca="false">+H68-C69</f>
        <v>51084.9413236255</v>
      </c>
      <c r="J69" s="325" t="n">
        <f aca="false">+H68*$J$18</f>
        <v>61.7708917278391</v>
      </c>
      <c r="K69" s="323" t="n">
        <f aca="false">+J69*$K$18</f>
        <v>2.16198121047437</v>
      </c>
      <c r="L69" s="323" t="n">
        <f aca="false">+J69*$L$18</f>
        <v>0.308854458639195</v>
      </c>
      <c r="M69" s="320" t="n">
        <f aca="false">+J69+K69+L69</f>
        <v>64.2417273969526</v>
      </c>
    </row>
    <row r="70" customFormat="false" ht="12.75" hidden="false" customHeight="false" outlineLevel="0" collapsed="false">
      <c r="A70" s="319" t="n">
        <v>52</v>
      </c>
      <c r="B70" s="207" t="n">
        <f aca="false">+B69+E70</f>
        <v>46139.3358628241</v>
      </c>
      <c r="C70" s="323" t="n">
        <f aca="false">+$D$11-D70</f>
        <v>1278.01017844394</v>
      </c>
      <c r="D70" s="323" t="n">
        <f aca="false">+H69*$B$9/360*E70</f>
        <v>595.990982108964</v>
      </c>
      <c r="E70" s="208" t="n">
        <v>30</v>
      </c>
      <c r="F70" s="323" t="n">
        <f aca="false">+C70+D70</f>
        <v>1874.00116055291</v>
      </c>
      <c r="G70" s="324" t="n">
        <f aca="false">+F70+M70</f>
        <v>1936.69260054526</v>
      </c>
      <c r="H70" s="320" t="n">
        <f aca="false">+H69-C70</f>
        <v>49806.9311451816</v>
      </c>
      <c r="J70" s="325" t="n">
        <f aca="false">+H69*$J$18</f>
        <v>60.2802307618781</v>
      </c>
      <c r="K70" s="323" t="n">
        <f aca="false">+J70*$K$18</f>
        <v>2.10980807666573</v>
      </c>
      <c r="L70" s="323" t="n">
        <f aca="false">+J70*$L$18</f>
        <v>0.301401153809391</v>
      </c>
      <c r="M70" s="320" t="n">
        <f aca="false">+J70+K70+L70</f>
        <v>62.6914399923532</v>
      </c>
    </row>
    <row r="71" customFormat="false" ht="12.75" hidden="false" customHeight="false" outlineLevel="0" collapsed="false">
      <c r="A71" s="319" t="n">
        <v>53</v>
      </c>
      <c r="B71" s="207" t="n">
        <f aca="false">+B70+E71</f>
        <v>46169.3358628241</v>
      </c>
      <c r="C71" s="323" t="n">
        <f aca="false">+$D$11-D71</f>
        <v>1292.92029719246</v>
      </c>
      <c r="D71" s="323" t="n">
        <f aca="false">+H70*$B$9/360*E71</f>
        <v>581.080863360452</v>
      </c>
      <c r="E71" s="208" t="n">
        <v>30</v>
      </c>
      <c r="F71" s="323" t="n">
        <f aca="false">+C71+D71</f>
        <v>1874.00116055291</v>
      </c>
      <c r="G71" s="324" t="n">
        <f aca="false">+F71+M71</f>
        <v>1935.12422645428</v>
      </c>
      <c r="H71" s="320" t="n">
        <f aca="false">+H70-C71</f>
        <v>48514.0108479891</v>
      </c>
      <c r="J71" s="325" t="n">
        <f aca="false">+H70*$J$18</f>
        <v>58.7721787513142</v>
      </c>
      <c r="K71" s="323" t="n">
        <f aca="false">+J71*$K$18</f>
        <v>2.057026256296</v>
      </c>
      <c r="L71" s="323" t="n">
        <f aca="false">+J71*$L$18</f>
        <v>0.293860893756571</v>
      </c>
      <c r="M71" s="320" t="n">
        <f aca="false">+J71+K71+L71</f>
        <v>61.1230659013668</v>
      </c>
    </row>
    <row r="72" customFormat="false" ht="12.75" hidden="false" customHeight="false" outlineLevel="0" collapsed="false">
      <c r="A72" s="319" t="n">
        <v>54</v>
      </c>
      <c r="B72" s="207" t="n">
        <f aca="true">NOW()</f>
        <v>46079.3358628241</v>
      </c>
      <c r="C72" s="323" t="n">
        <f aca="false">+$D$11-D72</f>
        <v>1308.00436732637</v>
      </c>
      <c r="D72" s="323" t="n">
        <f aca="false">+H71*$B$9/360*E72</f>
        <v>565.99679322654</v>
      </c>
      <c r="E72" s="208" t="n">
        <v>30</v>
      </c>
      <c r="F72" s="323" t="n">
        <f aca="false">+C72+D72</f>
        <v>1874.00116055291</v>
      </c>
      <c r="G72" s="324" t="n">
        <f aca="false">+F72+M72</f>
        <v>1933.53755466556</v>
      </c>
      <c r="H72" s="320" t="n">
        <f aca="false">+H71-C72</f>
        <v>47206.0064806627</v>
      </c>
      <c r="J72" s="325" t="n">
        <f aca="false">+H71*$J$18</f>
        <v>57.2465328006271</v>
      </c>
      <c r="K72" s="323" t="n">
        <f aca="false">+J72*$K$18</f>
        <v>2.00362864802195</v>
      </c>
      <c r="L72" s="323" t="n">
        <f aca="false">+J72*$L$18</f>
        <v>0.286232664003136</v>
      </c>
      <c r="M72" s="320" t="n">
        <f aca="false">+J72+K72+L72</f>
        <v>59.5363941126522</v>
      </c>
    </row>
    <row r="73" customFormat="false" ht="12.75" hidden="false" customHeight="false" outlineLevel="0" collapsed="false">
      <c r="A73" s="319" t="n">
        <v>55</v>
      </c>
      <c r="B73" s="207" t="n">
        <f aca="false">+B72+E73</f>
        <v>46109.3358628241</v>
      </c>
      <c r="C73" s="323" t="n">
        <f aca="false">+$D$11-D73</f>
        <v>1323.26441827851</v>
      </c>
      <c r="D73" s="323" t="n">
        <f aca="false">+H72*$B$9/360*E73</f>
        <v>550.736742274399</v>
      </c>
      <c r="E73" s="208" t="n">
        <v>30</v>
      </c>
      <c r="F73" s="323" t="n">
        <f aca="false">+C73+D73</f>
        <v>1874.00116055291</v>
      </c>
      <c r="G73" s="324" t="n">
        <f aca="false">+F73+M73</f>
        <v>1931.93237170598</v>
      </c>
      <c r="H73" s="320" t="n">
        <f aca="false">+H72-C73</f>
        <v>45882.7420623842</v>
      </c>
      <c r="J73" s="325" t="n">
        <f aca="false">+H72*$J$18</f>
        <v>55.703087647182</v>
      </c>
      <c r="K73" s="323" t="n">
        <f aca="false">+J73*$K$18</f>
        <v>1.94960806765137</v>
      </c>
      <c r="L73" s="323" t="n">
        <f aca="false">+J73*$L$18</f>
        <v>0.27851543823591</v>
      </c>
      <c r="M73" s="320" t="n">
        <f aca="false">+J73+K73+L73</f>
        <v>57.9312111530693</v>
      </c>
    </row>
    <row r="74" customFormat="false" ht="12.75" hidden="false" customHeight="false" outlineLevel="0" collapsed="false">
      <c r="A74" s="319" t="n">
        <v>56</v>
      </c>
      <c r="B74" s="207" t="n">
        <f aca="false">+B73+E74</f>
        <v>46139.3358628241</v>
      </c>
      <c r="C74" s="323" t="n">
        <f aca="false">+$D$11-D74</f>
        <v>1338.70250315843</v>
      </c>
      <c r="D74" s="323" t="n">
        <f aca="false">+H73*$B$9/360*E74</f>
        <v>535.298657394483</v>
      </c>
      <c r="E74" s="208" t="n">
        <v>30</v>
      </c>
      <c r="F74" s="323" t="n">
        <f aca="false">+C74+D74</f>
        <v>1874.00116055291</v>
      </c>
      <c r="G74" s="324" t="n">
        <f aca="false">+F74+M74</f>
        <v>1930.30846161187</v>
      </c>
      <c r="H74" s="320" t="n">
        <f aca="false">+H73-C74</f>
        <v>44544.0395592258</v>
      </c>
      <c r="J74" s="325" t="n">
        <f aca="false">+H73*$J$18</f>
        <v>54.1416356336134</v>
      </c>
      <c r="K74" s="323" t="n">
        <f aca="false">+J74*$K$18</f>
        <v>1.89495724717647</v>
      </c>
      <c r="L74" s="323" t="n">
        <f aca="false">+J74*$L$18</f>
        <v>0.270708178168067</v>
      </c>
      <c r="M74" s="320" t="n">
        <f aca="false">+J74+K74+L74</f>
        <v>56.3073010589579</v>
      </c>
    </row>
    <row r="75" customFormat="false" ht="12.75" hidden="false" customHeight="false" outlineLevel="0" collapsed="false">
      <c r="A75" s="319" t="n">
        <v>57</v>
      </c>
      <c r="B75" s="207" t="n">
        <f aca="false">+B74+E75</f>
        <v>46169.3358628241</v>
      </c>
      <c r="C75" s="323" t="n">
        <f aca="false">+$D$11-D75</f>
        <v>1354.32069902861</v>
      </c>
      <c r="D75" s="323" t="n">
        <f aca="false">+H74*$B$9/360*E75</f>
        <v>519.680461524301</v>
      </c>
      <c r="E75" s="208" t="n">
        <v>30</v>
      </c>
      <c r="F75" s="323" t="n">
        <f aca="false">+C75+D75</f>
        <v>1874.00116055291</v>
      </c>
      <c r="G75" s="324" t="n">
        <f aca="false">+F75+M75</f>
        <v>1928.66560589999</v>
      </c>
      <c r="H75" s="320" t="n">
        <f aca="false">+H74-C75</f>
        <v>43189.7188601972</v>
      </c>
      <c r="J75" s="325" t="n">
        <f aca="false">+H74*$J$18</f>
        <v>52.5619666798864</v>
      </c>
      <c r="K75" s="323" t="n">
        <f aca="false">+J75*$K$18</f>
        <v>1.83966883379603</v>
      </c>
      <c r="L75" s="323" t="n">
        <f aca="false">+J75*$L$18</f>
        <v>0.262809833399432</v>
      </c>
      <c r="M75" s="320" t="n">
        <f aca="false">+J75+K75+L75</f>
        <v>54.6644453470819</v>
      </c>
    </row>
    <row r="76" customFormat="false" ht="12.75" hidden="false" customHeight="false" outlineLevel="0" collapsed="false">
      <c r="A76" s="319" t="n">
        <v>58</v>
      </c>
      <c r="B76" s="207" t="n">
        <f aca="true">NOW()</f>
        <v>46079.3358628241</v>
      </c>
      <c r="C76" s="323" t="n">
        <f aca="false">+$D$11-D76</f>
        <v>1370.12110718394</v>
      </c>
      <c r="D76" s="323" t="n">
        <f aca="false">+H75*$B$9/360*E76</f>
        <v>503.880053368967</v>
      </c>
      <c r="E76" s="208" t="n">
        <v>30</v>
      </c>
      <c r="F76" s="323" t="n">
        <f aca="false">+C76+D76</f>
        <v>1874.00116055291</v>
      </c>
      <c r="G76" s="324" t="n">
        <f aca="false">+F76+M76</f>
        <v>1927.00358353814</v>
      </c>
      <c r="H76" s="320" t="n">
        <f aca="false">+H75-C76</f>
        <v>41819.5977530132</v>
      </c>
      <c r="J76" s="325" t="n">
        <f aca="false">+H75*$J$18</f>
        <v>50.9638682550327</v>
      </c>
      <c r="K76" s="323" t="n">
        <f aca="false">+J76*$K$18</f>
        <v>1.78373538892614</v>
      </c>
      <c r="L76" s="323" t="n">
        <f aca="false">+J76*$L$18</f>
        <v>0.254819341275163</v>
      </c>
      <c r="M76" s="320" t="n">
        <f aca="false">+J76+K76+L76</f>
        <v>53.002422985234</v>
      </c>
    </row>
    <row r="77" customFormat="false" ht="12.75" hidden="false" customHeight="false" outlineLevel="0" collapsed="false">
      <c r="A77" s="319" t="n">
        <v>59</v>
      </c>
      <c r="B77" s="207" t="n">
        <f aca="false">+B76+E77</f>
        <v>46109.3358628241</v>
      </c>
      <c r="C77" s="323" t="n">
        <f aca="false">+$D$11-D77</f>
        <v>1386.10585343442</v>
      </c>
      <c r="D77" s="323" t="n">
        <f aca="false">+H76*$B$9/360*E77</f>
        <v>487.895307118488</v>
      </c>
      <c r="E77" s="208" t="n">
        <v>30</v>
      </c>
      <c r="F77" s="323" t="n">
        <f aca="false">+C77+D77</f>
        <v>1874.00116055291</v>
      </c>
      <c r="G77" s="324" t="n">
        <f aca="false">+F77+M77</f>
        <v>1925.32217091541</v>
      </c>
      <c r="H77" s="320" t="n">
        <f aca="false">+H76-C77</f>
        <v>40433.4918995788</v>
      </c>
      <c r="J77" s="325" t="n">
        <f aca="false">+H76*$J$18</f>
        <v>49.3471253485556</v>
      </c>
      <c r="K77" s="323" t="n">
        <f aca="false">+J77*$K$18</f>
        <v>1.72714938719945</v>
      </c>
      <c r="L77" s="323" t="n">
        <f aca="false">+J77*$L$18</f>
        <v>0.246735626742778</v>
      </c>
      <c r="M77" s="320" t="n">
        <f aca="false">+J77+K77+L77</f>
        <v>51.3210103624978</v>
      </c>
    </row>
    <row r="78" customFormat="false" ht="12.75" hidden="false" customHeight="false" outlineLevel="0" collapsed="false">
      <c r="A78" s="319" t="n">
        <v>60</v>
      </c>
      <c r="B78" s="207" t="n">
        <f aca="false">+B77+E78</f>
        <v>46139.3358628241</v>
      </c>
      <c r="C78" s="323" t="n">
        <f aca="false">+$D$11-D78</f>
        <v>1402.27708839116</v>
      </c>
      <c r="D78" s="323" t="n">
        <f aca="false">+H77*$B$9/360*E78</f>
        <v>471.724072161753</v>
      </c>
      <c r="E78" s="208" t="n">
        <v>30</v>
      </c>
      <c r="F78" s="323" t="n">
        <f aca="false">+C78+D78</f>
        <v>1874.00116055291</v>
      </c>
      <c r="G78" s="324" t="n">
        <f aca="false">+F78+M78</f>
        <v>1923.62114181207</v>
      </c>
      <c r="H78" s="320" t="n">
        <f aca="false">+H77-C78</f>
        <v>39031.2148111877</v>
      </c>
      <c r="J78" s="325" t="n">
        <f aca="false">+H77*$J$18</f>
        <v>47.711520441503</v>
      </c>
      <c r="K78" s="323" t="n">
        <f aca="false">+J78*$K$18</f>
        <v>1.66990321545261</v>
      </c>
      <c r="L78" s="323" t="n">
        <f aca="false">+J78*$L$18</f>
        <v>0.238557602207515</v>
      </c>
      <c r="M78" s="320" t="n">
        <f aca="false">+J78+K78+L78</f>
        <v>49.6199812591631</v>
      </c>
    </row>
    <row r="79" customFormat="false" ht="12.75" hidden="false" customHeight="false" outlineLevel="0" collapsed="false">
      <c r="A79" s="319" t="n">
        <v>61</v>
      </c>
      <c r="B79" s="207" t="n">
        <f aca="false">+B78+E79</f>
        <v>46169.3358628241</v>
      </c>
      <c r="C79" s="323" t="n">
        <f aca="false">+$D$11-D79</f>
        <v>1418.63698775572</v>
      </c>
      <c r="D79" s="323" t="n">
        <f aca="false">+H78*$B$9/360*E79</f>
        <v>455.364172797189</v>
      </c>
      <c r="E79" s="208" t="n">
        <v>30</v>
      </c>
      <c r="F79" s="323" t="n">
        <f aca="false">+C79+D79</f>
        <v>1874.00116055291</v>
      </c>
      <c r="G79" s="324" t="n">
        <f aca="false">+F79+M79</f>
        <v>1921.9002673692</v>
      </c>
      <c r="H79" s="320" t="n">
        <f aca="false">+H78-C79</f>
        <v>37612.5778234319</v>
      </c>
      <c r="J79" s="325" t="n">
        <f aca="false">+H78*$J$18</f>
        <v>46.0568334772014</v>
      </c>
      <c r="K79" s="323" t="n">
        <f aca="false">+J79*$K$18</f>
        <v>1.61198917170205</v>
      </c>
      <c r="L79" s="323" t="n">
        <f aca="false">+J79*$L$18</f>
        <v>0.230284167386007</v>
      </c>
      <c r="M79" s="320" t="n">
        <f aca="false">+J79+K79+L79</f>
        <v>47.8991068162895</v>
      </c>
    </row>
    <row r="80" customFormat="false" ht="12.75" hidden="false" customHeight="false" outlineLevel="0" collapsed="false">
      <c r="A80" s="319" t="n">
        <v>62</v>
      </c>
      <c r="B80" s="207" t="n">
        <f aca="true">NOW()</f>
        <v>46079.3358628241</v>
      </c>
      <c r="C80" s="323" t="n">
        <f aca="false">+$D$11-D80</f>
        <v>1435.18775261287</v>
      </c>
      <c r="D80" s="323" t="n">
        <f aca="false">+H79*$B$9/360*E80</f>
        <v>438.813407940039</v>
      </c>
      <c r="E80" s="208" t="n">
        <v>30</v>
      </c>
      <c r="F80" s="323" t="n">
        <f aca="false">+C80+D80</f>
        <v>1874.00116055291</v>
      </c>
      <c r="G80" s="324" t="n">
        <f aca="false">+F80+M80</f>
        <v>1920.15931605782</v>
      </c>
      <c r="H80" s="320" t="n">
        <f aca="false">+H79-C80</f>
        <v>36177.3900708191</v>
      </c>
      <c r="J80" s="325" t="n">
        <f aca="false">+H79*$J$18</f>
        <v>44.3828418316497</v>
      </c>
      <c r="K80" s="323" t="n">
        <f aca="false">+J80*$K$18</f>
        <v>1.55339946410774</v>
      </c>
      <c r="L80" s="323" t="n">
        <f aca="false">+J80*$L$18</f>
        <v>0.221914209158248</v>
      </c>
      <c r="M80" s="320" t="n">
        <f aca="false">+J80+K80+L80</f>
        <v>46.1581555049157</v>
      </c>
    </row>
    <row r="81" customFormat="false" ht="12.75" hidden="false" customHeight="false" outlineLevel="0" collapsed="false">
      <c r="A81" s="319" t="n">
        <v>63</v>
      </c>
      <c r="B81" s="207" t="n">
        <f aca="false">+B80+E81</f>
        <v>46109.3358628241</v>
      </c>
      <c r="C81" s="323" t="n">
        <f aca="false">+$D$11-D81</f>
        <v>1451.93160972669</v>
      </c>
      <c r="D81" s="323" t="n">
        <f aca="false">+H80*$B$9/360*E81</f>
        <v>422.069550826223</v>
      </c>
      <c r="E81" s="208" t="n">
        <v>30</v>
      </c>
      <c r="F81" s="323" t="n">
        <f aca="false">+C81+D81</f>
        <v>1874.00116055291</v>
      </c>
      <c r="G81" s="324" t="n">
        <f aca="false">+F81+M81</f>
        <v>1918.39805364782</v>
      </c>
      <c r="H81" s="320" t="n">
        <f aca="false">+H80-C81</f>
        <v>34725.4584610924</v>
      </c>
      <c r="J81" s="325" t="n">
        <f aca="false">+H80*$J$18</f>
        <v>42.6893202835665</v>
      </c>
      <c r="K81" s="323" t="n">
        <f aca="false">+J81*$K$18</f>
        <v>1.49412620992483</v>
      </c>
      <c r="L81" s="323" t="n">
        <f aca="false">+J81*$L$18</f>
        <v>0.213446601417833</v>
      </c>
      <c r="M81" s="320" t="n">
        <f aca="false">+J81+K81+L81</f>
        <v>44.3968930949092</v>
      </c>
    </row>
    <row r="82" customFormat="false" ht="12.75" hidden="false" customHeight="false" outlineLevel="0" collapsed="false">
      <c r="A82" s="319" t="n">
        <v>64</v>
      </c>
      <c r="B82" s="207" t="n">
        <f aca="false">+B81+E82</f>
        <v>46139.3358628241</v>
      </c>
      <c r="C82" s="323" t="n">
        <f aca="false">+$D$11-D82</f>
        <v>1468.87081184016</v>
      </c>
      <c r="D82" s="323" t="n">
        <f aca="false">+H81*$B$9/360*E82</f>
        <v>405.130348712745</v>
      </c>
      <c r="E82" s="208" t="n">
        <v>30</v>
      </c>
      <c r="F82" s="323" t="n">
        <f aca="false">+C82+D82</f>
        <v>1874.00116055291</v>
      </c>
      <c r="G82" s="324" t="n">
        <f aca="false">+F82+M82</f>
        <v>1916.61624317636</v>
      </c>
      <c r="H82" s="320" t="n">
        <f aca="false">+H81-C82</f>
        <v>33256.5876492522</v>
      </c>
      <c r="J82" s="325" t="n">
        <f aca="false">+H81*$J$18</f>
        <v>40.976040984089</v>
      </c>
      <c r="K82" s="323" t="n">
        <f aca="false">+J82*$K$18</f>
        <v>1.43416143444312</v>
      </c>
      <c r="L82" s="323" t="n">
        <f aca="false">+J82*$L$18</f>
        <v>0.204880204920445</v>
      </c>
      <c r="M82" s="320" t="n">
        <f aca="false">+J82+K82+L82</f>
        <v>42.6150826234526</v>
      </c>
    </row>
    <row r="83" customFormat="false" ht="12.75" hidden="false" customHeight="false" outlineLevel="0" collapsed="false">
      <c r="A83" s="319" t="n">
        <v>65</v>
      </c>
      <c r="B83" s="207" t="n">
        <f aca="false">+B82+E83</f>
        <v>46169.3358628241</v>
      </c>
      <c r="C83" s="323" t="n">
        <f aca="false">+$D$11-D83</f>
        <v>1486.0076379783</v>
      </c>
      <c r="D83" s="323" t="n">
        <f aca="false">+H82*$B$9/360*E83</f>
        <v>387.993522574609</v>
      </c>
      <c r="E83" s="208" t="n">
        <v>30</v>
      </c>
      <c r="F83" s="323" t="n">
        <f aca="false">+C83+D83</f>
        <v>1874.00116055291</v>
      </c>
      <c r="G83" s="324" t="n">
        <f aca="false">+F83+M83</f>
        <v>1914.81364491607</v>
      </c>
      <c r="H83" s="320" t="n">
        <f aca="false">+H82-C83</f>
        <v>31770.5800112739</v>
      </c>
      <c r="J83" s="325" t="n">
        <f aca="false">+H82*$J$18</f>
        <v>39.2427734261176</v>
      </c>
      <c r="K83" s="323" t="n">
        <f aca="false">+J83*$K$18</f>
        <v>1.37349706991412</v>
      </c>
      <c r="L83" s="323" t="n">
        <f aca="false">+J83*$L$18</f>
        <v>0.196213867130588</v>
      </c>
      <c r="M83" s="320" t="n">
        <f aca="false">+J83+K83+L83</f>
        <v>40.8124843631623</v>
      </c>
    </row>
    <row r="84" customFormat="false" ht="12.75" hidden="false" customHeight="false" outlineLevel="0" collapsed="false">
      <c r="A84" s="319" t="n">
        <v>66</v>
      </c>
      <c r="B84" s="207" t="n">
        <f aca="true">NOW()</f>
        <v>46079.3358628241</v>
      </c>
      <c r="C84" s="323" t="n">
        <f aca="false">+$D$11-D84</f>
        <v>1503.34439375471</v>
      </c>
      <c r="D84" s="323" t="n">
        <f aca="false">+H83*$B$9/360*E84</f>
        <v>370.656766798196</v>
      </c>
      <c r="E84" s="208" t="n">
        <v>30</v>
      </c>
      <c r="F84" s="323" t="n">
        <f aca="false">+C84+D84</f>
        <v>1874.00116055291</v>
      </c>
      <c r="G84" s="324" t="n">
        <f aca="false">+F84+M84</f>
        <v>1912.99001634274</v>
      </c>
      <c r="H84" s="320" t="n">
        <f aca="false">+H83-C84</f>
        <v>30267.2356175192</v>
      </c>
      <c r="J84" s="325" t="n">
        <f aca="false">+H83*$J$18</f>
        <v>37.4892844133032</v>
      </c>
      <c r="K84" s="323" t="n">
        <f aca="false">+J84*$K$18</f>
        <v>1.31212495446561</v>
      </c>
      <c r="L84" s="323" t="n">
        <f aca="false">+J84*$L$18</f>
        <v>0.187446422066516</v>
      </c>
      <c r="M84" s="320" t="n">
        <f aca="false">+J84+K84+L84</f>
        <v>38.9888557898354</v>
      </c>
    </row>
    <row r="85" customFormat="false" ht="12.75" hidden="false" customHeight="false" outlineLevel="0" collapsed="false">
      <c r="A85" s="319" t="n">
        <v>67</v>
      </c>
      <c r="B85" s="207" t="n">
        <f aca="false">+B84+E85</f>
        <v>46109.3358628241</v>
      </c>
      <c r="C85" s="323" t="n">
        <f aca="false">+$D$11-D85</f>
        <v>1520.88341168185</v>
      </c>
      <c r="D85" s="323" t="n">
        <f aca="false">+H84*$B$9/360*E85</f>
        <v>353.117748871058</v>
      </c>
      <c r="E85" s="208" t="n">
        <v>30</v>
      </c>
      <c r="F85" s="323" t="n">
        <f aca="false">+C85+D85</f>
        <v>1874.00116055291</v>
      </c>
      <c r="G85" s="324" t="n">
        <f aca="false">+F85+M85</f>
        <v>1911.14511210273</v>
      </c>
      <c r="H85" s="320" t="n">
        <f aca="false">+H84-C85</f>
        <v>28746.3522058374</v>
      </c>
      <c r="J85" s="325" t="n">
        <f aca="false">+H84*$J$18</f>
        <v>35.7153380286727</v>
      </c>
      <c r="K85" s="323" t="n">
        <f aca="false">+J85*$K$18</f>
        <v>1.25003683100354</v>
      </c>
      <c r="L85" s="323" t="n">
        <f aca="false">+J85*$L$18</f>
        <v>0.178576690143363</v>
      </c>
      <c r="M85" s="320" t="n">
        <f aca="false">+J85+K85+L85</f>
        <v>37.1439515498196</v>
      </c>
    </row>
    <row r="86" customFormat="false" ht="12.75" hidden="false" customHeight="false" outlineLevel="0" collapsed="false">
      <c r="A86" s="319" t="n">
        <v>68</v>
      </c>
      <c r="B86" s="207" t="n">
        <f aca="false">+B85+E86</f>
        <v>46139.3358628241</v>
      </c>
      <c r="C86" s="323" t="n">
        <f aca="false">+$D$11-D86</f>
        <v>1538.62705148481</v>
      </c>
      <c r="D86" s="323" t="n">
        <f aca="false">+H85*$B$9/360*E86</f>
        <v>335.374109068103</v>
      </c>
      <c r="E86" s="208" t="n">
        <v>30</v>
      </c>
      <c r="F86" s="323" t="n">
        <f aca="false">+C86+D86</f>
        <v>1874.00116055291</v>
      </c>
      <c r="G86" s="324" t="n">
        <f aca="false">+F86+M86</f>
        <v>1909.27868397991</v>
      </c>
      <c r="H86" s="320" t="n">
        <f aca="false">+H85-C86</f>
        <v>27207.7251543526</v>
      </c>
      <c r="J86" s="325" t="n">
        <f aca="false">+H85*$J$18</f>
        <v>33.9206956028881</v>
      </c>
      <c r="K86" s="323" t="n">
        <f aca="false">+J86*$K$18</f>
        <v>1.18722434610108</v>
      </c>
      <c r="L86" s="323" t="n">
        <f aca="false">+J86*$L$18</f>
        <v>0.16960347801444</v>
      </c>
      <c r="M86" s="320" t="n">
        <f aca="false">+J86+K86+L86</f>
        <v>35.2775234270036</v>
      </c>
    </row>
    <row r="87" customFormat="false" ht="12.75" hidden="false" customHeight="false" outlineLevel="0" collapsed="false">
      <c r="A87" s="319" t="n">
        <v>69</v>
      </c>
      <c r="B87" s="207" t="n">
        <f aca="false">+B86+E87</f>
        <v>46169.3358628241</v>
      </c>
      <c r="C87" s="323" t="n">
        <f aca="false">+$D$11-D87</f>
        <v>1556.5777004188</v>
      </c>
      <c r="D87" s="323" t="n">
        <f aca="false">+H86*$B$9/360*E87</f>
        <v>317.423460134113</v>
      </c>
      <c r="E87" s="208" t="n">
        <v>30</v>
      </c>
      <c r="F87" s="323" t="n">
        <f aca="false">+C87+D87</f>
        <v>1874.00116055291</v>
      </c>
      <c r="G87" s="324" t="n">
        <f aca="false">+F87+M87</f>
        <v>1907.39048086233</v>
      </c>
      <c r="H87" s="320" t="n">
        <f aca="false">+H86-C87</f>
        <v>25651.1474539338</v>
      </c>
      <c r="J87" s="325" t="n">
        <f aca="false">+H86*$J$18</f>
        <v>32.105115682136</v>
      </c>
      <c r="K87" s="323" t="n">
        <f aca="false">+J87*$K$18</f>
        <v>1.12367904887476</v>
      </c>
      <c r="L87" s="323" t="n">
        <f aca="false">+J87*$L$18</f>
        <v>0.16052557841068</v>
      </c>
      <c r="M87" s="320" t="n">
        <f aca="false">+J87+K87+L87</f>
        <v>33.3893203094215</v>
      </c>
    </row>
    <row r="88" customFormat="false" ht="12.75" hidden="false" customHeight="false" outlineLevel="0" collapsed="false">
      <c r="A88" s="319" t="n">
        <v>70</v>
      </c>
      <c r="B88" s="207" t="n">
        <f aca="true">NOW()</f>
        <v>46079.3358628241</v>
      </c>
      <c r="C88" s="323" t="n">
        <f aca="false">+$D$11-D88</f>
        <v>1574.73777359035</v>
      </c>
      <c r="D88" s="323" t="n">
        <f aca="false">+H87*$B$9/360*E88</f>
        <v>299.263386962561</v>
      </c>
      <c r="E88" s="208" t="n">
        <v>30</v>
      </c>
      <c r="F88" s="323" t="n">
        <f aca="false">+C88+D88</f>
        <v>1874.00116055291</v>
      </c>
      <c r="G88" s="324" t="n">
        <f aca="false">+F88+M88</f>
        <v>1905.48024870838</v>
      </c>
      <c r="H88" s="320" t="n">
        <f aca="false">+H87-C88</f>
        <v>24076.4096803434</v>
      </c>
      <c r="J88" s="325" t="n">
        <f aca="false">+H87*$J$18</f>
        <v>30.2683539956418</v>
      </c>
      <c r="K88" s="323" t="n">
        <f aca="false">+J88*$K$18</f>
        <v>1.05939238984746</v>
      </c>
      <c r="L88" s="323" t="n">
        <f aca="false">+J88*$L$18</f>
        <v>0.151341769978209</v>
      </c>
      <c r="M88" s="320" t="n">
        <f aca="false">+J88+K88+L88</f>
        <v>31.4790881554675</v>
      </c>
    </row>
    <row r="89" customFormat="false" ht="12.75" hidden="false" customHeight="false" outlineLevel="0" collapsed="false">
      <c r="A89" s="319" t="n">
        <v>71</v>
      </c>
      <c r="B89" s="207" t="n">
        <f aca="false">+B88+E89</f>
        <v>46109.3358628241</v>
      </c>
      <c r="C89" s="323" t="n">
        <f aca="false">+$D$11-D89</f>
        <v>1593.10971428224</v>
      </c>
      <c r="D89" s="323" t="n">
        <f aca="false">+H88*$B$9/360*E89</f>
        <v>280.891446270673</v>
      </c>
      <c r="E89" s="208" t="n">
        <v>30</v>
      </c>
      <c r="F89" s="323" t="n">
        <f aca="false">+C89+D89</f>
        <v>1874.00116055291</v>
      </c>
      <c r="G89" s="324" t="n">
        <f aca="false">+F89+M89</f>
        <v>1903.54773051263</v>
      </c>
      <c r="H89" s="320" t="n">
        <f aca="false">+H88-C89</f>
        <v>22483.2999660612</v>
      </c>
      <c r="J89" s="325" t="n">
        <f aca="false">+H88*$J$18</f>
        <v>28.4101634228052</v>
      </c>
      <c r="K89" s="323" t="n">
        <f aca="false">+J89*$K$18</f>
        <v>0.994355719798183</v>
      </c>
      <c r="L89" s="323" t="n">
        <f aca="false">+J89*$L$18</f>
        <v>0.142050817114026</v>
      </c>
      <c r="M89" s="320" t="n">
        <f aca="false">+J89+K89+L89</f>
        <v>29.5465699597174</v>
      </c>
    </row>
    <row r="90" customFormat="false" ht="12.75" hidden="false" customHeight="false" outlineLevel="0" collapsed="false">
      <c r="A90" s="319" t="n">
        <v>72</v>
      </c>
      <c r="B90" s="207" t="n">
        <f aca="false">+B89+E90</f>
        <v>46139.3358628241</v>
      </c>
      <c r="C90" s="323" t="n">
        <f aca="false">+$D$11-D90</f>
        <v>1611.6959942822</v>
      </c>
      <c r="D90" s="323" t="n">
        <f aca="false">+H89*$B$9/360*E90</f>
        <v>262.305166270714</v>
      </c>
      <c r="E90" s="208" t="n">
        <v>30</v>
      </c>
      <c r="F90" s="323" t="n">
        <f aca="false">+C90+D90</f>
        <v>1874.00116055291</v>
      </c>
      <c r="G90" s="324" t="n">
        <f aca="false">+F90+M90</f>
        <v>1901.59266627126</v>
      </c>
      <c r="H90" s="320" t="n">
        <f aca="false">+H89-C90</f>
        <v>20871.603971779</v>
      </c>
      <c r="J90" s="325" t="n">
        <f aca="false">+H89*$J$18</f>
        <v>26.5302939599522</v>
      </c>
      <c r="K90" s="323" t="n">
        <f aca="false">+J90*$K$18</f>
        <v>0.928560288598327</v>
      </c>
      <c r="L90" s="323" t="n">
        <f aca="false">+J90*$L$18</f>
        <v>0.132651469799761</v>
      </c>
      <c r="M90" s="320" t="n">
        <f aca="false">+J90+K90+L90</f>
        <v>27.5915057183503</v>
      </c>
    </row>
    <row r="91" customFormat="false" ht="12.75" hidden="false" customHeight="false" outlineLevel="0" collapsed="false">
      <c r="A91" s="319" t="n">
        <v>73</v>
      </c>
      <c r="B91" s="207" t="n">
        <f aca="false">+B90+E91</f>
        <v>46169.3358628241</v>
      </c>
      <c r="C91" s="323" t="n">
        <f aca="false">+$D$11-D91</f>
        <v>1630.49911421549</v>
      </c>
      <c r="D91" s="323" t="n">
        <f aca="false">+H90*$B$9/360*E91</f>
        <v>243.502046337421</v>
      </c>
      <c r="E91" s="208" t="n">
        <v>30</v>
      </c>
      <c r="F91" s="323" t="n">
        <f aca="false">+C91+D91</f>
        <v>1874.00116055291</v>
      </c>
      <c r="G91" s="324" t="n">
        <f aca="false">+F91+M91</f>
        <v>1899.61479294708</v>
      </c>
      <c r="H91" s="320" t="n">
        <f aca="false">+H90-C91</f>
        <v>19241.1048575635</v>
      </c>
      <c r="J91" s="325" t="n">
        <f aca="false">+H90*$J$18</f>
        <v>24.6284926866992</v>
      </c>
      <c r="K91" s="323" t="n">
        <f aca="false">+J91*$K$18</f>
        <v>0.861997244034472</v>
      </c>
      <c r="L91" s="323" t="n">
        <f aca="false">+J91*$L$18</f>
        <v>0.123142463433496</v>
      </c>
      <c r="M91" s="320" t="n">
        <f aca="false">+J91+K91+L91</f>
        <v>25.6136323941672</v>
      </c>
    </row>
    <row r="92" customFormat="false" ht="12.75" hidden="false" customHeight="false" outlineLevel="0" collapsed="false">
      <c r="A92" s="319" t="n">
        <v>74</v>
      </c>
      <c r="B92" s="207" t="n">
        <f aca="true">NOW()</f>
        <v>46079.3358628241</v>
      </c>
      <c r="C92" s="323" t="n">
        <f aca="false">+$D$11-D92</f>
        <v>1649.52160388133</v>
      </c>
      <c r="D92" s="323" t="n">
        <f aca="false">+H91*$B$9/360*E92</f>
        <v>224.479556671574</v>
      </c>
      <c r="E92" s="208" t="n">
        <v>30</v>
      </c>
      <c r="F92" s="323" t="n">
        <f aca="false">+C92+D92</f>
        <v>1874.00116055291</v>
      </c>
      <c r="G92" s="324" t="n">
        <f aca="false">+F92+M92</f>
        <v>1897.61384443411</v>
      </c>
      <c r="H92" s="320" t="n">
        <f aca="false">+H91-C92</f>
        <v>17591.5832536822</v>
      </c>
      <c r="J92" s="325" t="n">
        <f aca="false">+H91*$J$18</f>
        <v>22.7045037319249</v>
      </c>
      <c r="K92" s="323" t="n">
        <f aca="false">+J92*$K$18</f>
        <v>0.794657630617372</v>
      </c>
      <c r="L92" s="323" t="n">
        <f aca="false">+J92*$L$18</f>
        <v>0.113522518659625</v>
      </c>
      <c r="M92" s="320" t="n">
        <f aca="false">+J92+K92+L92</f>
        <v>23.6126838812019</v>
      </c>
    </row>
    <row r="93" customFormat="false" ht="12.75" hidden="false" customHeight="false" outlineLevel="0" collapsed="false">
      <c r="A93" s="319" t="n">
        <v>75</v>
      </c>
      <c r="B93" s="207" t="n">
        <f aca="true">NOW()</f>
        <v>46079.3358628241</v>
      </c>
      <c r="C93" s="323" t="n">
        <f aca="false">+$D$11-D93</f>
        <v>1668.76602259328</v>
      </c>
      <c r="D93" s="323" t="n">
        <f aca="false">+H92*$B$9/360*E93</f>
        <v>205.235137959625</v>
      </c>
      <c r="E93" s="208" t="n">
        <v>30</v>
      </c>
      <c r="F93" s="323" t="n">
        <f aca="false">+C93+D93</f>
        <v>1874.00116055291</v>
      </c>
      <c r="G93" s="324" t="n">
        <f aca="false">+F93+M93</f>
        <v>1895.58955152183</v>
      </c>
      <c r="H93" s="320" t="n">
        <f aca="false">+H92-C93</f>
        <v>15922.8172310889</v>
      </c>
      <c r="J93" s="325" t="n">
        <f aca="false">+H92*$J$18</f>
        <v>20.7580682393449</v>
      </c>
      <c r="K93" s="323" t="n">
        <f aca="false">+J93*$K$18</f>
        <v>0.726532388377073</v>
      </c>
      <c r="L93" s="323" t="n">
        <f aca="false">+J93*$L$18</f>
        <v>0.103790341196725</v>
      </c>
      <c r="M93" s="320" t="n">
        <f aca="false">+J93+K93+L93</f>
        <v>21.5883909689187</v>
      </c>
    </row>
    <row r="94" customFormat="false" ht="12.75" hidden="false" customHeight="false" outlineLevel="0" collapsed="false">
      <c r="A94" s="319" t="n">
        <v>76</v>
      </c>
      <c r="B94" s="207" t="n">
        <f aca="false">+B93+E94</f>
        <v>46109.3358628241</v>
      </c>
      <c r="C94" s="323" t="n">
        <f aca="false">+$D$11-D94</f>
        <v>1688.23495952354</v>
      </c>
      <c r="D94" s="323" t="n">
        <f aca="false">+H93*$B$9/360*E94</f>
        <v>185.76620102937</v>
      </c>
      <c r="E94" s="208" t="n">
        <v>30</v>
      </c>
      <c r="F94" s="323" t="n">
        <f aca="false">+C94+D94</f>
        <v>1874.00116055291</v>
      </c>
      <c r="G94" s="324" t="n">
        <f aca="false">+F94+M94</f>
        <v>1893.5416418589</v>
      </c>
      <c r="H94" s="320" t="n">
        <f aca="false">+H93-C94</f>
        <v>14234.5822715653</v>
      </c>
      <c r="J94" s="325" t="n">
        <f aca="false">+H93*$J$18</f>
        <v>18.7889243326849</v>
      </c>
      <c r="K94" s="323" t="n">
        <f aca="false">+J94*$K$18</f>
        <v>0.657612351643971</v>
      </c>
      <c r="L94" s="323" t="n">
        <f aca="false">+J94*$L$18</f>
        <v>0.0939446216634244</v>
      </c>
      <c r="M94" s="320" t="n">
        <f aca="false">+J94+K94+L94</f>
        <v>19.5404813059923</v>
      </c>
    </row>
    <row r="95" customFormat="false" ht="12.75" hidden="false" customHeight="false" outlineLevel="0" collapsed="false">
      <c r="A95" s="319" t="n">
        <v>77</v>
      </c>
      <c r="B95" s="207" t="n">
        <f aca="false">+B94+E95</f>
        <v>46139.3358628241</v>
      </c>
      <c r="C95" s="323" t="n">
        <f aca="false">+$D$11-D95</f>
        <v>1707.93103405131</v>
      </c>
      <c r="D95" s="323" t="n">
        <f aca="false">+H94*$B$9/360*E95</f>
        <v>166.070126501596</v>
      </c>
      <c r="E95" s="208" t="n">
        <v>30</v>
      </c>
      <c r="F95" s="323" t="n">
        <f aca="false">+C95+D95</f>
        <v>1874.00116055291</v>
      </c>
      <c r="G95" s="324" t="n">
        <f aca="false">+F95+M95</f>
        <v>1891.46983991657</v>
      </c>
      <c r="H95" s="320" t="n">
        <f aca="false">+H94-C95</f>
        <v>12526.651237514</v>
      </c>
      <c r="J95" s="325" t="n">
        <f aca="false">+H94*$J$18</f>
        <v>16.7968070804471</v>
      </c>
      <c r="K95" s="323" t="n">
        <f aca="false">+J95*$K$18</f>
        <v>0.587888247815648</v>
      </c>
      <c r="L95" s="323" t="n">
        <f aca="false">+J95*$L$18</f>
        <v>0.0839840354022355</v>
      </c>
      <c r="M95" s="320" t="n">
        <f aca="false">+J95+K95+L95</f>
        <v>17.468679363665</v>
      </c>
    </row>
    <row r="96" customFormat="false" ht="12.75" hidden="false" customHeight="false" outlineLevel="0" collapsed="false">
      <c r="A96" s="319" t="n">
        <v>78</v>
      </c>
      <c r="B96" s="207" t="n">
        <f aca="false">+B95+E96</f>
        <v>46169.3358628241</v>
      </c>
      <c r="C96" s="323" t="n">
        <f aca="false">+$D$11-D96</f>
        <v>1727.85689611525</v>
      </c>
      <c r="D96" s="323" t="n">
        <f aca="false">+H95*$B$9/360*E96</f>
        <v>146.144264437664</v>
      </c>
      <c r="E96" s="208" t="n">
        <v>30</v>
      </c>
      <c r="F96" s="323" t="n">
        <f aca="false">+C96+D96</f>
        <v>1874.00116055291</v>
      </c>
      <c r="G96" s="324" t="n">
        <f aca="false">+F96+M96</f>
        <v>1889.37386695159</v>
      </c>
      <c r="H96" s="320" t="n">
        <f aca="false">+H95-C96</f>
        <v>10798.7943413988</v>
      </c>
      <c r="J96" s="325" t="n">
        <f aca="false">+H95*$J$18</f>
        <v>14.7814484602665</v>
      </c>
      <c r="K96" s="323" t="n">
        <f aca="false">+J96*$K$18</f>
        <v>0.517350696109329</v>
      </c>
      <c r="L96" s="323" t="n">
        <f aca="false">+J96*$L$18</f>
        <v>0.0739072423013327</v>
      </c>
      <c r="M96" s="320" t="n">
        <f aca="false">+J96+K96+L96</f>
        <v>15.3727063986772</v>
      </c>
    </row>
    <row r="97" customFormat="false" ht="12.75" hidden="false" customHeight="false" outlineLevel="0" collapsed="false">
      <c r="A97" s="319" t="n">
        <v>79</v>
      </c>
      <c r="B97" s="207" t="n">
        <f aca="true">NOW()</f>
        <v>46079.3358628241</v>
      </c>
      <c r="C97" s="323" t="n">
        <f aca="false">+$D$11-D97</f>
        <v>1748.01522656992</v>
      </c>
      <c r="D97" s="323" t="n">
        <f aca="false">+H96*$B$9/360*E97</f>
        <v>125.985933982986</v>
      </c>
      <c r="E97" s="208" t="n">
        <v>30</v>
      </c>
      <c r="F97" s="323" t="n">
        <f aca="false">+C97+D97</f>
        <v>1874.00116055291</v>
      </c>
      <c r="G97" s="324" t="n">
        <f aca="false">+F97+M97</f>
        <v>1887.25344096867</v>
      </c>
      <c r="H97" s="320" t="n">
        <f aca="false">+H96-C97</f>
        <v>9050.77911482885</v>
      </c>
      <c r="J97" s="325" t="n">
        <f aca="false">+H96*$J$18</f>
        <v>12.7425773228506</v>
      </c>
      <c r="K97" s="323" t="n">
        <f aca="false">+J97*$K$18</f>
        <v>0.44599020629977</v>
      </c>
      <c r="L97" s="323" t="n">
        <f aca="false">+J97*$L$18</f>
        <v>0.0637128866142528</v>
      </c>
      <c r="M97" s="320" t="n">
        <f aca="false">+J97+K97+L97</f>
        <v>13.2522804157646</v>
      </c>
    </row>
    <row r="98" customFormat="false" ht="12.75" hidden="false" customHeight="false" outlineLevel="0" collapsed="false">
      <c r="A98" s="319" t="n">
        <v>80</v>
      </c>
      <c r="B98" s="207" t="n">
        <f aca="false">+B97+E98</f>
        <v>46109.3358628241</v>
      </c>
      <c r="C98" s="323" t="n">
        <f aca="false">+$D$11-D98</f>
        <v>1768.40873754657</v>
      </c>
      <c r="D98" s="323" t="n">
        <f aca="false">+H97*$B$9/360*E98</f>
        <v>105.592423006337</v>
      </c>
      <c r="E98" s="208" t="n">
        <v>30</v>
      </c>
      <c r="F98" s="323" t="n">
        <f aca="false">+C98+D98</f>
        <v>1874.00116055291</v>
      </c>
      <c r="G98" s="324" t="n">
        <f aca="false">+F98+M98</f>
        <v>1885.10827668263</v>
      </c>
      <c r="H98" s="320" t="n">
        <f aca="false">+H97-C98</f>
        <v>7282.37037728228</v>
      </c>
      <c r="J98" s="325" t="n">
        <f aca="false">+H97*$J$18</f>
        <v>10.679919355498</v>
      </c>
      <c r="K98" s="323" t="n">
        <f aca="false">+J98*$K$18</f>
        <v>0.373797177442432</v>
      </c>
      <c r="L98" s="323" t="n">
        <f aca="false">+J98*$L$18</f>
        <v>0.0533995967774902</v>
      </c>
      <c r="M98" s="320" t="n">
        <f aca="false">+J98+K98+L98</f>
        <v>11.107116129718</v>
      </c>
    </row>
    <row r="99" customFormat="false" ht="12.75" hidden="false" customHeight="false" outlineLevel="0" collapsed="false">
      <c r="A99" s="319" t="n">
        <v>81</v>
      </c>
      <c r="B99" s="207" t="n">
        <f aca="false">+B98+E99</f>
        <v>46139.3358628241</v>
      </c>
      <c r="C99" s="323" t="n">
        <f aca="false">+$D$11-D99</f>
        <v>1789.04017281795</v>
      </c>
      <c r="D99" s="323" t="n">
        <f aca="false">+H98*$B$9/360*E99</f>
        <v>84.96098773496</v>
      </c>
      <c r="E99" s="208" t="n">
        <v>30</v>
      </c>
      <c r="F99" s="323" t="n">
        <f aca="false">+C99+D99</f>
        <v>1874.00116055291</v>
      </c>
      <c r="G99" s="324" t="n">
        <f aca="false">+F99+M99</f>
        <v>1882.93808547991</v>
      </c>
      <c r="H99" s="320" t="n">
        <f aca="false">+H98-C99</f>
        <v>5493.33020446433</v>
      </c>
      <c r="J99" s="325" t="n">
        <f aca="false">+H98*$J$18</f>
        <v>8.59319704519309</v>
      </c>
      <c r="K99" s="323" t="n">
        <f aca="false">+J99*$K$18</f>
        <v>0.300761896581758</v>
      </c>
      <c r="L99" s="323" t="n">
        <f aca="false">+J99*$L$18</f>
        <v>0.0429659852259655</v>
      </c>
      <c r="M99" s="320" t="n">
        <f aca="false">+J99+K99+L99</f>
        <v>8.93692492700082</v>
      </c>
    </row>
    <row r="100" customFormat="false" ht="12.75" hidden="false" customHeight="false" outlineLevel="0" collapsed="false">
      <c r="A100" s="319" t="n">
        <v>82</v>
      </c>
      <c r="B100" s="207" t="n">
        <f aca="false">+B99+E100</f>
        <v>46169.3358628241</v>
      </c>
      <c r="C100" s="323" t="n">
        <f aca="false">+$D$11-D100</f>
        <v>1809.91230816749</v>
      </c>
      <c r="D100" s="323" t="n">
        <f aca="false">+H99*$B$9/360*E100</f>
        <v>64.0888523854172</v>
      </c>
      <c r="E100" s="208" t="n">
        <v>30</v>
      </c>
      <c r="F100" s="323" t="n">
        <f aca="false">+C100+D100</f>
        <v>1874.00116055291</v>
      </c>
      <c r="G100" s="324" t="n">
        <f aca="false">+F100+M100</f>
        <v>1880.74257537983</v>
      </c>
      <c r="H100" s="320" t="n">
        <f aca="false">+H99-C100</f>
        <v>3683.41789629684</v>
      </c>
      <c r="J100" s="325" t="n">
        <f aca="false">+H99*$J$18</f>
        <v>6.48212964126792</v>
      </c>
      <c r="K100" s="323" t="n">
        <f aca="false">+J100*$K$18</f>
        <v>0.226874537444377</v>
      </c>
      <c r="L100" s="323" t="n">
        <f aca="false">+J100*$L$18</f>
        <v>0.0324106482063396</v>
      </c>
      <c r="M100" s="320" t="n">
        <f aca="false">+J100+K100+L100</f>
        <v>6.74141482691863</v>
      </c>
    </row>
    <row r="101" customFormat="false" ht="12.75" hidden="false" customHeight="false" outlineLevel="0" collapsed="false">
      <c r="A101" s="319" t="n">
        <v>83</v>
      </c>
      <c r="B101" s="207" t="n">
        <f aca="true">NOW()</f>
        <v>46079.3358628241</v>
      </c>
      <c r="C101" s="323" t="n">
        <f aca="false">+$D$11-D101</f>
        <v>1831.02795176278</v>
      </c>
      <c r="D101" s="323" t="n">
        <f aca="false">+H100*$B$9/360*E101</f>
        <v>42.9732087901298</v>
      </c>
      <c r="E101" s="208" t="n">
        <v>30</v>
      </c>
      <c r="F101" s="323" t="n">
        <f aca="false">+C101+D101</f>
        <v>1874.00116055291</v>
      </c>
      <c r="G101" s="324" t="n">
        <f aca="false">+F101+M101</f>
        <v>1878.52145099524</v>
      </c>
      <c r="H101" s="320" t="n">
        <f aca="false">+H100-C101</f>
        <v>1852.38994453406</v>
      </c>
      <c r="J101" s="325" t="n">
        <f aca="false">+H100*$J$18</f>
        <v>4.34643311763028</v>
      </c>
      <c r="K101" s="323" t="n">
        <f aca="false">+J101*$K$18</f>
        <v>0.15212515911706</v>
      </c>
      <c r="L101" s="323" t="n">
        <f aca="false">+J101*$L$18</f>
        <v>0.0217321655881514</v>
      </c>
      <c r="M101" s="320" t="n">
        <f aca="false">+J101+K101+L101</f>
        <v>4.52029044233549</v>
      </c>
    </row>
    <row r="102" customFormat="false" ht="12.75" hidden="false" customHeight="false" outlineLevel="0" collapsed="false">
      <c r="A102" s="319" t="n">
        <v>84</v>
      </c>
      <c r="B102" s="207" t="n">
        <f aca="false">+B101+E102</f>
        <v>46109.3358628241</v>
      </c>
      <c r="C102" s="323" t="n">
        <f aca="false">+$D$11-D102</f>
        <v>1852.38994453334</v>
      </c>
      <c r="D102" s="323" t="n">
        <f aca="false">+H101*$B$9/360*E102</f>
        <v>21.6112160195641</v>
      </c>
      <c r="E102" s="208" t="n">
        <v>30</v>
      </c>
      <c r="F102" s="323" t="n">
        <f aca="false">+C102+D102</f>
        <v>1874.00116055291</v>
      </c>
      <c r="G102" s="324" t="n">
        <f aca="false">+F102+M102</f>
        <v>1876.27441349284</v>
      </c>
      <c r="H102" s="320" t="n">
        <f aca="false">+H101-C102</f>
        <v>7.19182935426943E-010</v>
      </c>
      <c r="J102" s="325" t="n">
        <f aca="false">+H101*$J$18</f>
        <v>2.1858201345502</v>
      </c>
      <c r="K102" s="323" t="n">
        <f aca="false">+J102*$K$18</f>
        <v>0.0765037047092568</v>
      </c>
      <c r="L102" s="323" t="n">
        <f aca="false">+J102*$L$18</f>
        <v>0.010929100672751</v>
      </c>
      <c r="M102" s="320" t="n">
        <f aca="false">+J102+K102+L102</f>
        <v>2.2732529399322</v>
      </c>
    </row>
    <row r="103" customFormat="false" ht="12.75" hidden="false" customHeight="false" outlineLevel="0" collapsed="false">
      <c r="A103" s="319" t="n">
        <v>85</v>
      </c>
      <c r="B103" s="207" t="n">
        <f aca="false">+B102+E103</f>
        <v>46139.3358628241</v>
      </c>
      <c r="C103" s="323" t="n">
        <f aca="false">+$D$11-D103</f>
        <v>1874.0011605529</v>
      </c>
      <c r="D103" s="323" t="n">
        <f aca="false">+H102*$B$9/360*E103</f>
        <v>8.390467579981E-012</v>
      </c>
      <c r="E103" s="208" t="n">
        <v>30</v>
      </c>
      <c r="F103" s="323" t="n">
        <f aca="false">+C103+D103</f>
        <v>1874.00116055291</v>
      </c>
      <c r="G103" s="324" t="n">
        <f aca="false">+F103+M103</f>
        <v>1874.00116055291</v>
      </c>
      <c r="H103" s="320" t="n">
        <f aca="false">+H102-C103</f>
        <v>-1874.00116055218</v>
      </c>
      <c r="J103" s="325" t="n">
        <f aca="false">+H102*$J$18</f>
        <v>8.48635863803793E-013</v>
      </c>
      <c r="K103" s="323" t="n">
        <f aca="false">+J103*$K$18</f>
        <v>2.97022552331328E-014</v>
      </c>
      <c r="L103" s="323" t="n">
        <f aca="false">+J103*$L$18</f>
        <v>4.24317931901896E-015</v>
      </c>
      <c r="M103" s="320" t="n">
        <f aca="false">+J103+K103+L103</f>
        <v>8.82581298355945E-013</v>
      </c>
    </row>
    <row r="104" customFormat="false" ht="12.75" hidden="false" customHeight="false" outlineLevel="0" collapsed="false">
      <c r="A104" s="319" t="n">
        <v>86</v>
      </c>
      <c r="B104" s="207" t="n">
        <f aca="false">+B103+E104</f>
        <v>46169.3358628241</v>
      </c>
      <c r="C104" s="323" t="n">
        <f aca="false">+$D$11-D104</f>
        <v>1895.86450742602</v>
      </c>
      <c r="D104" s="323" t="n">
        <f aca="false">+H103*$B$9/360*E104</f>
        <v>-21.8633468731088</v>
      </c>
      <c r="E104" s="208" t="n">
        <v>30</v>
      </c>
      <c r="F104" s="323" t="n">
        <f aca="false">+C104+D104</f>
        <v>1874.00116055291</v>
      </c>
      <c r="G104" s="324" t="n">
        <f aca="false">+F104+M104</f>
        <v>1871.70138632868</v>
      </c>
      <c r="H104" s="320" t="n">
        <f aca="false">+H103-C104</f>
        <v>-3769.8656679782</v>
      </c>
      <c r="J104" s="325" t="n">
        <f aca="false">+H103*$J$18</f>
        <v>-2.21132136945157</v>
      </c>
      <c r="K104" s="323" t="n">
        <f aca="false">+J104*$K$18</f>
        <v>-0.0773962479308051</v>
      </c>
      <c r="L104" s="323" t="n">
        <f aca="false">+J104*$L$18</f>
        <v>-0.0110566068472579</v>
      </c>
      <c r="M104" s="320" t="n">
        <f aca="false">+J104+K104+L104</f>
        <v>-2.29977422422964</v>
      </c>
    </row>
    <row r="105" customFormat="false" ht="12.75" hidden="false" customHeight="false" outlineLevel="0" collapsed="false">
      <c r="A105" s="319" t="n">
        <v>87</v>
      </c>
      <c r="B105" s="207" t="n">
        <f aca="true">NOW()</f>
        <v>46079.3358628241</v>
      </c>
      <c r="C105" s="323" t="n">
        <f aca="false">+$D$11-D105</f>
        <v>1917.98292667932</v>
      </c>
      <c r="D105" s="323" t="n">
        <f aca="false">+H104*$B$9/360*E105</f>
        <v>-43.9817661264123</v>
      </c>
      <c r="E105" s="208" t="n">
        <v>30</v>
      </c>
      <c r="F105" s="323" t="n">
        <f aca="false">+C105+D105</f>
        <v>1874.00116055291</v>
      </c>
      <c r="G105" s="324" t="n">
        <f aca="false">+F105+M105</f>
        <v>1869.37478140517</v>
      </c>
      <c r="H105" s="320" t="n">
        <f aca="false">+H104-C105</f>
        <v>-5687.84859465752</v>
      </c>
      <c r="J105" s="325" t="n">
        <f aca="false">+H104*$J$18</f>
        <v>-4.44844148821428</v>
      </c>
      <c r="K105" s="323" t="n">
        <f aca="false">+J105*$K$18</f>
        <v>-0.1556954520875</v>
      </c>
      <c r="L105" s="323" t="n">
        <f aca="false">+J105*$L$18</f>
        <v>-0.0222422074410714</v>
      </c>
      <c r="M105" s="320" t="n">
        <f aca="false">+J105+K105+L105</f>
        <v>-4.62637914774285</v>
      </c>
    </row>
    <row r="106" customFormat="false" ht="12.75" hidden="false" customHeight="false" outlineLevel="0" collapsed="false">
      <c r="A106" s="319" t="n">
        <v>88</v>
      </c>
      <c r="B106" s="207" t="n">
        <f aca="false">+B105+E106</f>
        <v>46109.3358628241</v>
      </c>
      <c r="C106" s="323" t="n">
        <f aca="false">+$D$11-D106</f>
        <v>1940.35939415725</v>
      </c>
      <c r="D106" s="323" t="n">
        <f aca="false">+H105*$B$9/360*E106</f>
        <v>-66.3582336043377</v>
      </c>
      <c r="E106" s="208" t="n">
        <v>30</v>
      </c>
      <c r="F106" s="323" t="n">
        <f aca="false">+C106+D106</f>
        <v>1874.00116055291</v>
      </c>
      <c r="G106" s="324" t="n">
        <f aca="false">+F106+M106</f>
        <v>1867.02103275755</v>
      </c>
      <c r="H106" s="320" t="n">
        <f aca="false">+H105-C106</f>
        <v>-7628.20798881477</v>
      </c>
      <c r="J106" s="325" t="n">
        <f aca="false">+H105*$J$18</f>
        <v>-6.71166134169587</v>
      </c>
      <c r="K106" s="323" t="n">
        <f aca="false">+J106*$K$18</f>
        <v>-0.234908146959356</v>
      </c>
      <c r="L106" s="323" t="n">
        <f aca="false">+J106*$L$18</f>
        <v>-0.0335583067084794</v>
      </c>
      <c r="M106" s="320" t="n">
        <f aca="false">+J106+K106+L106</f>
        <v>-6.98012779536371</v>
      </c>
    </row>
    <row r="107" customFormat="false" ht="12.75" hidden="false" customHeight="false" outlineLevel="0" collapsed="false">
      <c r="A107" s="319" t="n">
        <v>89</v>
      </c>
      <c r="B107" s="207" t="n">
        <f aca="false">+B106+E107</f>
        <v>46139.3358628241</v>
      </c>
      <c r="C107" s="323" t="n">
        <f aca="false">+$D$11-D107</f>
        <v>1962.99692042241</v>
      </c>
      <c r="D107" s="323" t="n">
        <f aca="false">+H106*$B$9/360*E107</f>
        <v>-88.9957598695056</v>
      </c>
      <c r="E107" s="208" t="n">
        <v>30</v>
      </c>
      <c r="F107" s="323" t="n">
        <f aca="false">+C107+D107</f>
        <v>1874.00116055291</v>
      </c>
      <c r="G107" s="324" t="n">
        <f aca="false">+F107+M107</f>
        <v>1864.63982370904</v>
      </c>
      <c r="H107" s="320" t="n">
        <f aca="false">+H106-C107</f>
        <v>-9591.20490923718</v>
      </c>
      <c r="J107" s="325" t="n">
        <f aca="false">+H106*$J$18</f>
        <v>-9.00128542680143</v>
      </c>
      <c r="K107" s="323" t="n">
        <f aca="false">+J107*$K$18</f>
        <v>-0.31504498993805</v>
      </c>
      <c r="L107" s="323" t="n">
        <f aca="false">+J107*$L$18</f>
        <v>-0.0450064271340071</v>
      </c>
      <c r="M107" s="320" t="n">
        <f aca="false">+J107+K107+L107</f>
        <v>-9.36133684387348</v>
      </c>
    </row>
    <row r="108" customFormat="false" ht="12.75" hidden="false" customHeight="false" outlineLevel="0" collapsed="false">
      <c r="A108" s="319" t="n">
        <v>90</v>
      </c>
      <c r="B108" s="207" t="n">
        <f aca="false">+B107+E108</f>
        <v>46169.3358628241</v>
      </c>
      <c r="C108" s="323" t="n">
        <f aca="false">+$D$11-D108</f>
        <v>1985.89855116068</v>
      </c>
      <c r="D108" s="323" t="n">
        <f aca="false">+H107*$B$9/360*E108</f>
        <v>-111.897390607767</v>
      </c>
      <c r="E108" s="208" t="n">
        <v>30</v>
      </c>
      <c r="F108" s="323" t="n">
        <f aca="false">+C108+D108</f>
        <v>1874.00116055291</v>
      </c>
      <c r="G108" s="324" t="n">
        <f aca="false">+F108+M108</f>
        <v>1862.23083388829</v>
      </c>
      <c r="H108" s="320" t="n">
        <f aca="false">+H107-C108</f>
        <v>-11577.1034603979</v>
      </c>
      <c r="J108" s="325" t="n">
        <f aca="false">+H107*$J$18</f>
        <v>-11.3176217928999</v>
      </c>
      <c r="K108" s="323" t="n">
        <f aca="false">+J108*$K$18</f>
        <v>-0.396116762751496</v>
      </c>
      <c r="L108" s="323" t="n">
        <f aca="false">+J108*$L$18</f>
        <v>-0.0565881089644994</v>
      </c>
      <c r="M108" s="320" t="n">
        <f aca="false">+J108+K108+L108</f>
        <v>-11.7703266646159</v>
      </c>
    </row>
    <row r="109" customFormat="false" ht="12.75" hidden="false" customHeight="false" outlineLevel="0" collapsed="false">
      <c r="A109" s="319" t="n">
        <v>91</v>
      </c>
      <c r="B109" s="207" t="n">
        <f aca="true">NOW()</f>
        <v>46079.3358628241</v>
      </c>
      <c r="C109" s="323" t="n">
        <f aca="false">+$D$11-D109</f>
        <v>2009.06736759088</v>
      </c>
      <c r="D109" s="323" t="n">
        <f aca="false">+H108*$B$9/360*E109</f>
        <v>-135.066207037975</v>
      </c>
      <c r="E109" s="208" t="n">
        <v>30</v>
      </c>
      <c r="F109" s="323" t="n">
        <f aca="false">+C109+D109</f>
        <v>1874.00116055291</v>
      </c>
      <c r="G109" s="324" t="n">
        <f aca="false">+F109+M109</f>
        <v>1859.79373918631</v>
      </c>
      <c r="H109" s="320" t="n">
        <f aca="false">+H108-C109</f>
        <v>-13586.1708279887</v>
      </c>
      <c r="J109" s="325" t="n">
        <f aca="false">+H108*$J$18</f>
        <v>-13.6609820832695</v>
      </c>
      <c r="K109" s="323" t="n">
        <f aca="false">+J109*$K$18</f>
        <v>-0.478134372914432</v>
      </c>
      <c r="L109" s="323" t="n">
        <f aca="false">+J109*$L$18</f>
        <v>-0.0683049104163474</v>
      </c>
      <c r="M109" s="320" t="n">
        <f aca="false">+J109+K109+L109</f>
        <v>-14.2074213666003</v>
      </c>
    </row>
    <row r="110" customFormat="false" ht="12.75" hidden="false" customHeight="false" outlineLevel="0" collapsed="false">
      <c r="A110" s="319" t="n">
        <v>92</v>
      </c>
      <c r="B110" s="207" t="n">
        <f aca="false">+B109+E110</f>
        <v>46109.3358628241</v>
      </c>
      <c r="C110" s="323" t="n">
        <f aca="false">+$D$11-D110</f>
        <v>2032.50648687944</v>
      </c>
      <c r="D110" s="323" t="n">
        <f aca="false">+H109*$B$9/360*E110</f>
        <v>-158.505326326535</v>
      </c>
      <c r="E110" s="208" t="n">
        <v>30</v>
      </c>
      <c r="F110" s="323" t="n">
        <f aca="false">+C110+D110</f>
        <v>1874.00116055291</v>
      </c>
      <c r="G110" s="324" t="n">
        <f aca="false">+F110+M110</f>
        <v>1857.3282117128</v>
      </c>
      <c r="H110" s="320" t="n">
        <f aca="false">+H109-C110</f>
        <v>-15618.6773148682</v>
      </c>
      <c r="J110" s="325" t="n">
        <f aca="false">+H109*$J$18</f>
        <v>-16.0316815770267</v>
      </c>
      <c r="K110" s="323" t="n">
        <f aca="false">+J110*$K$18</f>
        <v>-0.561108855195935</v>
      </c>
      <c r="L110" s="323" t="n">
        <f aca="false">+J110*$L$18</f>
        <v>-0.0801584078851336</v>
      </c>
      <c r="M110" s="320" t="n">
        <f aca="false">+J110+K110+L110</f>
        <v>-16.6729488401078</v>
      </c>
    </row>
    <row r="111" customFormat="false" ht="12.75" hidden="false" customHeight="false" outlineLevel="0" collapsed="false">
      <c r="A111" s="319" t="n">
        <v>93</v>
      </c>
      <c r="B111" s="207" t="n">
        <f aca="false">+B110+E111</f>
        <v>46139.3358628241</v>
      </c>
      <c r="C111" s="323" t="n">
        <f aca="false">+$D$11-D111</f>
        <v>2056.2190625597</v>
      </c>
      <c r="D111" s="323" t="n">
        <f aca="false">+H110*$B$9/360*E111</f>
        <v>-182.217902006796</v>
      </c>
      <c r="E111" s="208" t="n">
        <v>30</v>
      </c>
      <c r="F111" s="323" t="n">
        <f aca="false">+C111+D111</f>
        <v>1874.00116055291</v>
      </c>
      <c r="G111" s="324" t="n">
        <f aca="false">+F111+M111</f>
        <v>1854.8339197521</v>
      </c>
      <c r="H111" s="320" t="n">
        <f aca="false">+H110-C111</f>
        <v>-17674.8963774279</v>
      </c>
      <c r="J111" s="325" t="n">
        <f aca="false">+H110*$J$18</f>
        <v>-18.4300392315445</v>
      </c>
      <c r="K111" s="323" t="n">
        <f aca="false">+J111*$K$18</f>
        <v>-0.645051373104056</v>
      </c>
      <c r="L111" s="323" t="n">
        <f aca="false">+J111*$L$18</f>
        <v>-0.0921501961577223</v>
      </c>
      <c r="M111" s="320" t="n">
        <f aca="false">+J111+K111+L111</f>
        <v>-19.1672408008062</v>
      </c>
    </row>
    <row r="112" customFormat="false" ht="12.75" hidden="false" customHeight="false" outlineLevel="0" collapsed="false">
      <c r="A112" s="319" t="n">
        <v>94</v>
      </c>
      <c r="B112" s="207" t="n">
        <f aca="false">+B111+E112</f>
        <v>46169.3358628241</v>
      </c>
      <c r="C112" s="323" t="n">
        <f aca="false">+$D$11-D112</f>
        <v>2080.20828495623</v>
      </c>
      <c r="D112" s="323" t="n">
        <f aca="false">+H111*$B$9/360*E112</f>
        <v>-206.207124403325</v>
      </c>
      <c r="E112" s="208" t="n">
        <v>30</v>
      </c>
      <c r="F112" s="323" t="n">
        <f aca="false">+C112+D112</f>
        <v>1874.00116055291</v>
      </c>
      <c r="G112" s="324" t="n">
        <f aca="false">+F112+M112</f>
        <v>1852.31052771853</v>
      </c>
      <c r="H112" s="320" t="n">
        <f aca="false">+H111-C112</f>
        <v>-19755.1046623841</v>
      </c>
      <c r="J112" s="325" t="n">
        <f aca="false">+H111*$J$18</f>
        <v>-20.8563777253649</v>
      </c>
      <c r="K112" s="323" t="n">
        <f aca="false">+J112*$K$18</f>
        <v>-0.729973220387772</v>
      </c>
      <c r="L112" s="323" t="n">
        <f aca="false">+J112*$L$18</f>
        <v>-0.104281888626825</v>
      </c>
      <c r="M112" s="320" t="n">
        <f aca="false">+J112+K112+L112</f>
        <v>-21.6906328343795</v>
      </c>
    </row>
    <row r="113" customFormat="false" ht="12.75" hidden="false" customHeight="false" outlineLevel="0" collapsed="false">
      <c r="A113" s="319" t="n">
        <v>95</v>
      </c>
      <c r="B113" s="207" t="n">
        <f aca="true">NOW()</f>
        <v>46079.3358628241</v>
      </c>
      <c r="C113" s="323" t="n">
        <f aca="false">+$D$11-D113</f>
        <v>2104.47738161406</v>
      </c>
      <c r="D113" s="323" t="n">
        <f aca="false">+H112*$B$9/360*E113</f>
        <v>-230.476221061148</v>
      </c>
      <c r="E113" s="208" t="n">
        <v>30</v>
      </c>
      <c r="F113" s="323" t="n">
        <f aca="false">+C113+D113</f>
        <v>1874.00116055291</v>
      </c>
      <c r="G113" s="324" t="n">
        <f aca="false">+F113+M113</f>
        <v>1849.75769611123</v>
      </c>
      <c r="H113" s="320" t="n">
        <f aca="false">+H112-C113</f>
        <v>-21859.5820439982</v>
      </c>
      <c r="J113" s="325" t="n">
        <f aca="false">+H112*$J$18</f>
        <v>-23.3110235016133</v>
      </c>
      <c r="K113" s="323" t="n">
        <f aca="false">+J113*$K$18</f>
        <v>-0.815885822556465</v>
      </c>
      <c r="L113" s="323" t="n">
        <f aca="false">+J113*$L$18</f>
        <v>-0.116555117508066</v>
      </c>
      <c r="M113" s="320" t="n">
        <f aca="false">+J113+K113+L113</f>
        <v>-24.2434644416778</v>
      </c>
    </row>
    <row r="114" customFormat="false" ht="12.75" hidden="false" customHeight="false" outlineLevel="0" collapsed="false">
      <c r="A114" s="319" t="n">
        <v>96</v>
      </c>
      <c r="B114" s="207" t="n">
        <f aca="false">+B113+E114</f>
        <v>46109.3358628241</v>
      </c>
      <c r="C114" s="323" t="n">
        <f aca="false">+$D$11-D114</f>
        <v>2129.02961773289</v>
      </c>
      <c r="D114" s="323" t="n">
        <f aca="false">+H113*$B$9/360*E114</f>
        <v>-255.028457179979</v>
      </c>
      <c r="E114" s="208" t="n">
        <v>30</v>
      </c>
      <c r="F114" s="323" t="n">
        <f aca="false">+C114+D114</f>
        <v>1874.00116055291</v>
      </c>
      <c r="G114" s="324" t="n">
        <f aca="false">+F114+M114</f>
        <v>1847.17508146851</v>
      </c>
      <c r="H114" s="320" t="n">
        <f aca="false">+H113-C114</f>
        <v>-23988.6116617311</v>
      </c>
      <c r="J114" s="325" t="n">
        <f aca="false">+H113*$J$18</f>
        <v>-25.7943068119179</v>
      </c>
      <c r="K114" s="323" t="n">
        <f aca="false">+J114*$K$18</f>
        <v>-0.902800738417125</v>
      </c>
      <c r="L114" s="323" t="n">
        <f aca="false">+J114*$L$18</f>
        <v>-0.128971534059589</v>
      </c>
      <c r="M114" s="320" t="n">
        <f aca="false">+J114+K114+L114</f>
        <v>-26.8260790843946</v>
      </c>
    </row>
    <row r="115" customFormat="false" ht="12.75" hidden="false" customHeight="false" outlineLevel="0" collapsed="false">
      <c r="A115" s="319" t="n">
        <v>97</v>
      </c>
      <c r="B115" s="207" t="n">
        <f aca="false">+B114+E115</f>
        <v>46139.3358628241</v>
      </c>
      <c r="C115" s="323" t="n">
        <f aca="false">+$D$11-D115</f>
        <v>2153.86829660644</v>
      </c>
      <c r="D115" s="323" t="n">
        <f aca="false">+H114*$B$9/360*E115</f>
        <v>-279.867136053529</v>
      </c>
      <c r="E115" s="208" t="n">
        <v>30</v>
      </c>
      <c r="F115" s="323" t="n">
        <f aca="false">+C115+D115</f>
        <v>1874.00116055291</v>
      </c>
      <c r="G115" s="324" t="n">
        <f aca="false">+F115+M115</f>
        <v>1844.56233632163</v>
      </c>
      <c r="H115" s="320" t="n">
        <f aca="false">+H114-C115</f>
        <v>-26142.4799583375</v>
      </c>
      <c r="J115" s="325" t="n">
        <f aca="false">+H114*$J$18</f>
        <v>-28.3065617608427</v>
      </c>
      <c r="K115" s="323" t="n">
        <f aca="false">+J115*$K$18</f>
        <v>-0.990729661629493</v>
      </c>
      <c r="L115" s="323" t="n">
        <f aca="false">+J115*$L$18</f>
        <v>-0.141532808804213</v>
      </c>
      <c r="M115" s="320" t="n">
        <f aca="false">+J115+K115+L115</f>
        <v>-29.4388242312764</v>
      </c>
    </row>
    <row r="116" customFormat="false" ht="12.75" hidden="false" customHeight="false" outlineLevel="0" collapsed="false">
      <c r="A116" s="319" t="n">
        <v>98</v>
      </c>
      <c r="B116" s="207" t="n">
        <f aca="false">+B115+E116</f>
        <v>46169.3358628241</v>
      </c>
      <c r="C116" s="323" t="n">
        <f aca="false">+$D$11-D116</f>
        <v>2178.99676006685</v>
      </c>
      <c r="D116" s="323" t="n">
        <f aca="false">+H115*$B$9/360*E116</f>
        <v>-304.995599513938</v>
      </c>
      <c r="E116" s="208" t="n">
        <v>30</v>
      </c>
      <c r="F116" s="323" t="n">
        <f aca="false">+C116+D116</f>
        <v>1874.00116055291</v>
      </c>
      <c r="G116" s="324" t="n">
        <f aca="false">+F116+M116</f>
        <v>1841.91910914804</v>
      </c>
      <c r="H116" s="320" t="n">
        <f aca="false">+H115-C116</f>
        <v>-28321.4767184044</v>
      </c>
      <c r="J116" s="325" t="n">
        <f aca="false">+H115*$J$18</f>
        <v>-30.8481263508383</v>
      </c>
      <c r="K116" s="323" t="n">
        <f aca="false">+J116*$K$18</f>
        <v>-1.07968442227934</v>
      </c>
      <c r="L116" s="323" t="n">
        <f aca="false">+J116*$L$18</f>
        <v>-0.154240631754191</v>
      </c>
      <c r="M116" s="320" t="n">
        <f aca="false">+J116+K116+L116</f>
        <v>-32.0820514048718</v>
      </c>
    </row>
    <row r="117" customFormat="false" ht="12.75" hidden="false" customHeight="false" outlineLevel="0" collapsed="false">
      <c r="A117" s="319" t="n">
        <v>99</v>
      </c>
      <c r="B117" s="207" t="n">
        <f aca="true">NOW()</f>
        <v>46079.3358628241</v>
      </c>
      <c r="C117" s="323" t="n">
        <f aca="false">+$D$11-D117</f>
        <v>2204.41838893429</v>
      </c>
      <c r="D117" s="323" t="n">
        <f aca="false">+H116*$B$9/360*E117</f>
        <v>-330.417228381384</v>
      </c>
      <c r="E117" s="208" t="n">
        <v>30</v>
      </c>
      <c r="F117" s="323" t="n">
        <f aca="false">+C117+D117</f>
        <v>1874.00116055291</v>
      </c>
      <c r="G117" s="324" t="n">
        <f aca="false">+F117+M117</f>
        <v>1839.24504432408</v>
      </c>
      <c r="H117" s="320" t="n">
        <f aca="false">+H116-C117</f>
        <v>-30525.8951073386</v>
      </c>
      <c r="J117" s="325" t="n">
        <f aca="false">+H116*$J$18</f>
        <v>-33.4193425277171</v>
      </c>
      <c r="K117" s="323" t="n">
        <f aca="false">+J117*$K$18</f>
        <v>-1.1696769884701</v>
      </c>
      <c r="L117" s="323" t="n">
        <f aca="false">+J117*$L$18</f>
        <v>-0.167096712638586</v>
      </c>
      <c r="M117" s="320" t="n">
        <f aca="false">+J117+K117+L117</f>
        <v>-34.7561162288258</v>
      </c>
    </row>
    <row r="118" customFormat="false" ht="12.75" hidden="false" customHeight="false" outlineLevel="0" collapsed="false">
      <c r="A118" s="319" t="n">
        <v>100</v>
      </c>
      <c r="B118" s="207" t="n">
        <f aca="true">NOW()</f>
        <v>46079.3358628241</v>
      </c>
      <c r="C118" s="323" t="n">
        <f aca="false">+$D$11-D118</f>
        <v>2230.13660347186</v>
      </c>
      <c r="D118" s="323" t="n">
        <f aca="false">+H117*$B$9/360*E118</f>
        <v>-356.135442918951</v>
      </c>
      <c r="E118" s="208" t="n">
        <v>30</v>
      </c>
      <c r="F118" s="323" t="n">
        <f aca="false">+C118+D118</f>
        <v>1874.00116055291</v>
      </c>
      <c r="G118" s="324" t="n">
        <f aca="false">+F118+M118</f>
        <v>1836.53978207718</v>
      </c>
      <c r="H118" s="320" t="n">
        <f aca="false">+H117-C118</f>
        <v>-32756.0317108105</v>
      </c>
      <c r="J118" s="325" t="n">
        <f aca="false">+H117*$J$18</f>
        <v>-36.0205562266596</v>
      </c>
      <c r="K118" s="323" t="n">
        <f aca="false">+J118*$K$18</f>
        <v>-1.26071946793309</v>
      </c>
      <c r="L118" s="323" t="n">
        <f aca="false">+J118*$L$18</f>
        <v>-0.180102781133298</v>
      </c>
      <c r="M118" s="320" t="n">
        <f aca="false">+J118+K118+L118</f>
        <v>-37.461378475726</v>
      </c>
    </row>
    <row r="119" customFormat="false" ht="12.75" hidden="false" customHeight="false" outlineLevel="0" collapsed="false">
      <c r="A119" s="319" t="n">
        <v>101</v>
      </c>
      <c r="B119" s="207" t="n">
        <f aca="false">+B118+E119</f>
        <v>46109.3358628241</v>
      </c>
      <c r="C119" s="323" t="n">
        <f aca="false">+$D$11-D119</f>
        <v>2256.1548638457</v>
      </c>
      <c r="D119" s="323" t="n">
        <f aca="false">+H118*$B$9/360*E119</f>
        <v>-382.153703292789</v>
      </c>
      <c r="E119" s="208" t="n">
        <v>30</v>
      </c>
      <c r="F119" s="323" t="n">
        <f aca="false">+C119+D119</f>
        <v>1874.00116055291</v>
      </c>
      <c r="G119" s="324" t="n">
        <f aca="false">+F119+M119</f>
        <v>1833.8029584374</v>
      </c>
      <c r="H119" s="320" t="n">
        <f aca="false">+H118-C119</f>
        <v>-35012.1865746562</v>
      </c>
      <c r="J119" s="325" t="n">
        <f aca="false">+H118*$J$18</f>
        <v>-38.6521174187564</v>
      </c>
      <c r="K119" s="323" t="n">
        <f aca="false">+J119*$K$18</f>
        <v>-1.35282410965647</v>
      </c>
      <c r="L119" s="323" t="n">
        <f aca="false">+J119*$L$18</f>
        <v>-0.193260587093782</v>
      </c>
      <c r="M119" s="320" t="n">
        <f aca="false">+J119+K119+L119</f>
        <v>-40.1982021155067</v>
      </c>
    </row>
    <row r="120" customFormat="false" ht="12.75" hidden="false" customHeight="false" outlineLevel="0" collapsed="false">
      <c r="A120" s="319" t="n">
        <v>102</v>
      </c>
      <c r="B120" s="207" t="n">
        <f aca="false">+B119+E120</f>
        <v>46139.3358628241</v>
      </c>
      <c r="C120" s="323" t="n">
        <f aca="false">+$D$11-D120</f>
        <v>2282.47667059056</v>
      </c>
      <c r="D120" s="323" t="n">
        <f aca="false">+H119*$B$9/360*E120</f>
        <v>-408.475510037656</v>
      </c>
      <c r="E120" s="208" t="n">
        <v>30</v>
      </c>
      <c r="F120" s="323" t="n">
        <f aca="false">+C120+D120</f>
        <v>1874.00116055291</v>
      </c>
      <c r="G120" s="324" t="n">
        <f aca="false">+F120+M120</f>
        <v>1831.03420518849</v>
      </c>
      <c r="H120" s="320" t="n">
        <f aca="false">+H119-C120</f>
        <v>-37294.6632452468</v>
      </c>
      <c r="J120" s="325" t="n">
        <f aca="false">+H119*$J$18</f>
        <v>-41.3143801580943</v>
      </c>
      <c r="K120" s="323" t="n">
        <f aca="false">+J120*$K$18</f>
        <v>-1.4460033055333</v>
      </c>
      <c r="L120" s="323" t="n">
        <f aca="false">+J120*$L$18</f>
        <v>-0.206571900790472</v>
      </c>
      <c r="M120" s="320" t="n">
        <f aca="false">+J120+K120+L120</f>
        <v>-42.9669553644181</v>
      </c>
    </row>
    <row r="121" customFormat="false" ht="12.75" hidden="false" customHeight="false" outlineLevel="0" collapsed="false">
      <c r="A121" s="319" t="n">
        <v>103</v>
      </c>
      <c r="B121" s="207" t="n">
        <f aca="false">+B120+E121</f>
        <v>46169.3358628241</v>
      </c>
      <c r="C121" s="323" t="n">
        <f aca="false">+$D$11-D121</f>
        <v>2309.10556508079</v>
      </c>
      <c r="D121" s="323" t="n">
        <f aca="false">+H120*$B$9/360*E121</f>
        <v>-435.104404527879</v>
      </c>
      <c r="E121" s="208" t="n">
        <v>30</v>
      </c>
      <c r="F121" s="323" t="n">
        <f aca="false">+C121+D121</f>
        <v>1874.00116055291</v>
      </c>
      <c r="G121" s="324" t="n">
        <f aca="false">+F121+M121</f>
        <v>1828.23314981834</v>
      </c>
      <c r="H121" s="320" t="n">
        <f aca="false">+H120-C121</f>
        <v>-39603.7688103276</v>
      </c>
      <c r="J121" s="325" t="n">
        <f aca="false">+H120*$J$18</f>
        <v>-44.0077026293912</v>
      </c>
      <c r="K121" s="323" t="n">
        <f aca="false">+J121*$K$18</f>
        <v>-1.54026959202869</v>
      </c>
      <c r="L121" s="323" t="n">
        <f aca="false">+J121*$L$18</f>
        <v>-0.220038513146956</v>
      </c>
      <c r="M121" s="320" t="n">
        <f aca="false">+J121+K121+L121</f>
        <v>-45.7680107345668</v>
      </c>
    </row>
    <row r="122" customFormat="false" ht="12.75" hidden="false" customHeight="false" outlineLevel="0" collapsed="false">
      <c r="A122" s="319" t="n">
        <v>104</v>
      </c>
      <c r="B122" s="207" t="n">
        <f aca="true">NOW()</f>
        <v>46079.3358628241</v>
      </c>
      <c r="C122" s="323" t="n">
        <f aca="false">+$D$11-D122</f>
        <v>2336.04513000673</v>
      </c>
      <c r="D122" s="323" t="n">
        <f aca="false">+H121*$B$9/360*E122</f>
        <v>-462.043969453822</v>
      </c>
      <c r="E122" s="208" t="n">
        <v>30</v>
      </c>
      <c r="F122" s="323" t="n">
        <f aca="false">+C122+D122</f>
        <v>1874.00116055291</v>
      </c>
      <c r="G122" s="324" t="n">
        <f aca="false">+F122+M122</f>
        <v>1825.39941546887</v>
      </c>
      <c r="H122" s="320" t="n">
        <f aca="false">+H121-C122</f>
        <v>-41939.8139403343</v>
      </c>
      <c r="J122" s="325" t="n">
        <f aca="false">+H121*$J$18</f>
        <v>-46.7324471961865</v>
      </c>
      <c r="K122" s="323" t="n">
        <f aca="false">+J122*$K$18</f>
        <v>-1.63563565186653</v>
      </c>
      <c r="L122" s="323" t="n">
        <f aca="false">+J122*$L$18</f>
        <v>-0.233662235980933</v>
      </c>
      <c r="M122" s="320" t="n">
        <f aca="false">+J122+K122+L122</f>
        <v>-48.601745084034</v>
      </c>
    </row>
    <row r="123" customFormat="false" ht="12.75" hidden="false" customHeight="false" outlineLevel="0" collapsed="false">
      <c r="A123" s="319" t="n">
        <v>105</v>
      </c>
      <c r="B123" s="207" t="n">
        <f aca="false">+B122+E123</f>
        <v>46109.3358628241</v>
      </c>
      <c r="C123" s="323" t="n">
        <f aca="false">+$D$11-D123</f>
        <v>2363.29898985681</v>
      </c>
      <c r="D123" s="323" t="n">
        <f aca="false">+H122*$B$9/360*E123</f>
        <v>-489.2978293039</v>
      </c>
      <c r="E123" s="208" t="n">
        <v>30</v>
      </c>
      <c r="F123" s="323" t="n">
        <f aca="false">+C123+D123</f>
        <v>1874.00116055291</v>
      </c>
      <c r="G123" s="324" t="n">
        <f aca="false">+F123+M123</f>
        <v>1822.53262088533</v>
      </c>
      <c r="H123" s="320" t="n">
        <f aca="false">+H122-C123</f>
        <v>-44303.1129301911</v>
      </c>
      <c r="J123" s="325" t="n">
        <f aca="false">+H122*$J$18</f>
        <v>-49.4889804495945</v>
      </c>
      <c r="K123" s="323" t="n">
        <f aca="false">+J123*$K$18</f>
        <v>-1.73211431573581</v>
      </c>
      <c r="L123" s="323" t="n">
        <f aca="false">+J123*$L$18</f>
        <v>-0.247444902247972</v>
      </c>
      <c r="M123" s="320" t="n">
        <f aca="false">+J123+K123+L123</f>
        <v>-51.4685396675782</v>
      </c>
    </row>
    <row r="124" customFormat="false" ht="12.75" hidden="false" customHeight="false" outlineLevel="0" collapsed="false">
      <c r="A124" s="319" t="n">
        <v>106</v>
      </c>
      <c r="B124" s="207" t="n">
        <f aca="false">+B123+E124</f>
        <v>46139.3358628241</v>
      </c>
      <c r="C124" s="323" t="n">
        <f aca="false">+$D$11-D124</f>
        <v>2390.87081140514</v>
      </c>
      <c r="D124" s="323" t="n">
        <f aca="false">+H123*$B$9/360*E124</f>
        <v>-516.86965085223</v>
      </c>
      <c r="E124" s="208" t="n">
        <v>30</v>
      </c>
      <c r="F124" s="323" t="n">
        <f aca="false">+C124+D124</f>
        <v>1874.00116055291</v>
      </c>
      <c r="G124" s="324" t="n">
        <f aca="false">+F124+M124</f>
        <v>1819.63238036498</v>
      </c>
      <c r="H124" s="320" t="n">
        <f aca="false">+H123-C124</f>
        <v>-46693.9837415962</v>
      </c>
      <c r="J124" s="325" t="n">
        <f aca="false">+H123*$J$18</f>
        <v>-52.2776732576255</v>
      </c>
      <c r="K124" s="323" t="n">
        <f aca="false">+J124*$K$18</f>
        <v>-1.82971856401689</v>
      </c>
      <c r="L124" s="323" t="n">
        <f aca="false">+J124*$L$18</f>
        <v>-0.261388366288128</v>
      </c>
      <c r="M124" s="320" t="n">
        <f aca="false">+J124+K124+L124</f>
        <v>-54.3687801879305</v>
      </c>
    </row>
    <row r="125" customFormat="false" ht="12.75" hidden="false" customHeight="false" outlineLevel="0" collapsed="false">
      <c r="A125" s="319" t="n">
        <v>107</v>
      </c>
      <c r="B125" s="207" t="n">
        <f aca="false">+B124+E125</f>
        <v>46169.3358628241</v>
      </c>
      <c r="C125" s="323" t="n">
        <f aca="false">+$D$11-D125</f>
        <v>2418.76430420487</v>
      </c>
      <c r="D125" s="323" t="n">
        <f aca="false">+H124*$B$9/360*E125</f>
        <v>-544.763143651956</v>
      </c>
      <c r="E125" s="208" t="n">
        <v>30</v>
      </c>
      <c r="F125" s="323" t="n">
        <f aca="false">+C125+D125</f>
        <v>1874.00116055291</v>
      </c>
      <c r="G125" s="324" t="n">
        <f aca="false">+F125+M125</f>
        <v>1816.69830370522</v>
      </c>
      <c r="H125" s="320" t="n">
        <f aca="false">+H124-C125</f>
        <v>-49112.7480458011</v>
      </c>
      <c r="J125" s="325" t="n">
        <f aca="false">+H124*$J$18</f>
        <v>-55.0989008150836</v>
      </c>
      <c r="K125" s="323" t="n">
        <f aca="false">+J125*$K$18</f>
        <v>-1.92846152852793</v>
      </c>
      <c r="L125" s="323" t="n">
        <f aca="false">+J125*$L$18</f>
        <v>-0.275494504075418</v>
      </c>
      <c r="M125" s="320" t="n">
        <f aca="false">+J125+K125+L125</f>
        <v>-57.3028568476869</v>
      </c>
    </row>
    <row r="126" customFormat="false" ht="12.75" hidden="false" customHeight="false" outlineLevel="0" collapsed="false">
      <c r="A126" s="319" t="n">
        <v>108</v>
      </c>
      <c r="B126" s="207" t="n">
        <f aca="true">NOW()</f>
        <v>46079.3358628241</v>
      </c>
      <c r="C126" s="323" t="n">
        <f aca="false">+$D$11-D126</f>
        <v>2446.98322108726</v>
      </c>
      <c r="D126" s="323" t="n">
        <f aca="false">+H125*$B$9/360*E126</f>
        <v>-572.982060534346</v>
      </c>
      <c r="E126" s="208" t="n">
        <v>30</v>
      </c>
      <c r="F126" s="323" t="n">
        <f aca="false">+C126+D126</f>
        <v>1874.00116055291</v>
      </c>
      <c r="G126" s="324" t="n">
        <f aca="false">+F126+M126</f>
        <v>1813.7299961511</v>
      </c>
      <c r="H126" s="320" t="n">
        <f aca="false">+H125-C126</f>
        <v>-51559.7312668884</v>
      </c>
      <c r="J126" s="325" t="n">
        <f aca="false">+H125*$J$18</f>
        <v>-57.9530426940453</v>
      </c>
      <c r="K126" s="323" t="n">
        <f aca="false">+J126*$K$18</f>
        <v>-2.02835649429159</v>
      </c>
      <c r="L126" s="323" t="n">
        <f aca="false">+J126*$L$18</f>
        <v>-0.289765213470227</v>
      </c>
      <c r="M126" s="320" t="n">
        <f aca="false">+J126+K126+L126</f>
        <v>-60.2711644018071</v>
      </c>
    </row>
    <row r="127" customFormat="false" ht="12.75" hidden="false" customHeight="false" outlineLevel="0" collapsed="false">
      <c r="A127" s="319" t="n">
        <v>109</v>
      </c>
      <c r="B127" s="207" t="n">
        <f aca="false">+B126+E127</f>
        <v>46109.3358628241</v>
      </c>
      <c r="C127" s="323" t="n">
        <f aca="false">+$D$11-D127</f>
        <v>2475.53135866661</v>
      </c>
      <c r="D127" s="323" t="n">
        <f aca="false">+H126*$B$9/360*E127</f>
        <v>-601.530198113698</v>
      </c>
      <c r="E127" s="208" t="n">
        <v>30</v>
      </c>
      <c r="F127" s="323" t="n">
        <f aca="false">+C127+D127</f>
        <v>1874.00116055291</v>
      </c>
      <c r="G127" s="324" t="n">
        <f aca="false">+F127+M127</f>
        <v>1810.72705834218</v>
      </c>
      <c r="H127" s="320" t="n">
        <f aca="false">+H126-C127</f>
        <v>-54035.262625555</v>
      </c>
      <c r="J127" s="325" t="n">
        <f aca="false">+H126*$J$18</f>
        <v>-60.8404828949283</v>
      </c>
      <c r="K127" s="323" t="n">
        <f aca="false">+J127*$K$18</f>
        <v>-2.12941690132249</v>
      </c>
      <c r="L127" s="323" t="n">
        <f aca="false">+J127*$L$18</f>
        <v>-0.304202414474641</v>
      </c>
      <c r="M127" s="320" t="n">
        <f aca="false">+J127+K127+L127</f>
        <v>-63.2741022107254</v>
      </c>
    </row>
    <row r="128" customFormat="false" ht="12.75" hidden="false" customHeight="false" outlineLevel="0" collapsed="false">
      <c r="A128" s="319" t="n">
        <v>110</v>
      </c>
      <c r="B128" s="207" t="n">
        <f aca="false">+B127+E128</f>
        <v>46139.3358628241</v>
      </c>
      <c r="C128" s="323" t="n">
        <f aca="false">+$D$11-D128</f>
        <v>2504.41255785105</v>
      </c>
      <c r="D128" s="323" t="n">
        <f aca="false">+H127*$B$9/360*E128</f>
        <v>-630.411397298141</v>
      </c>
      <c r="E128" s="208" t="n">
        <v>30</v>
      </c>
      <c r="F128" s="323" t="n">
        <f aca="false">+C128+D128</f>
        <v>1874.00116055291</v>
      </c>
      <c r="G128" s="324" t="n">
        <f aca="false">+F128+M128</f>
        <v>1807.68908625883</v>
      </c>
      <c r="H128" s="320" t="n">
        <f aca="false">+H127-C128</f>
        <v>-56539.675183406</v>
      </c>
      <c r="J128" s="325" t="n">
        <f aca="false">+H127*$J$18</f>
        <v>-63.7616098981549</v>
      </c>
      <c r="K128" s="323" t="n">
        <f aca="false">+J128*$K$18</f>
        <v>-2.23165634643542</v>
      </c>
      <c r="L128" s="323" t="n">
        <f aca="false">+J128*$L$18</f>
        <v>-0.318808049490774</v>
      </c>
      <c r="M128" s="320" t="n">
        <f aca="false">+J128+K128+L128</f>
        <v>-66.3120742940811</v>
      </c>
    </row>
    <row r="129" customFormat="false" ht="12.75" hidden="false" customHeight="false" outlineLevel="0" collapsed="false">
      <c r="A129" s="319" t="n">
        <v>111</v>
      </c>
      <c r="B129" s="207" t="n">
        <f aca="false">+B128+E129</f>
        <v>46169.3358628241</v>
      </c>
      <c r="C129" s="323" t="n">
        <f aca="false">+$D$11-D129</f>
        <v>2533.63070435931</v>
      </c>
      <c r="D129" s="323" t="n">
        <f aca="false">+H128*$B$9/360*E129</f>
        <v>-659.629543806404</v>
      </c>
      <c r="E129" s="208" t="n">
        <v>30</v>
      </c>
      <c r="F129" s="323" t="n">
        <f aca="false">+C129+D129</f>
        <v>1874.00116055291</v>
      </c>
      <c r="G129" s="324" t="n">
        <f aca="false">+F129+M129</f>
        <v>1804.61567116783</v>
      </c>
      <c r="H129" s="320" t="n">
        <f aca="false">+H128-C129</f>
        <v>-59073.3058877653</v>
      </c>
      <c r="J129" s="325" t="n">
        <f aca="false">+H128*$J$18</f>
        <v>-66.7168167164191</v>
      </c>
      <c r="K129" s="323" t="n">
        <f aca="false">+J129*$K$18</f>
        <v>-2.33508858507467</v>
      </c>
      <c r="L129" s="323" t="n">
        <f aca="false">+J129*$L$18</f>
        <v>-0.333584083582096</v>
      </c>
      <c r="M129" s="320" t="n">
        <f aca="false">+J129+K129+L129</f>
        <v>-69.3854893850759</v>
      </c>
    </row>
    <row r="130" customFormat="false" ht="12.75" hidden="false" customHeight="false" outlineLevel="0" collapsed="false">
      <c r="A130" s="319" t="n">
        <v>112</v>
      </c>
      <c r="B130" s="207" t="n">
        <f aca="true">NOW()</f>
        <v>46079.3358628241</v>
      </c>
      <c r="C130" s="323" t="n">
        <f aca="false">+$D$11-D130</f>
        <v>2563.1897292435</v>
      </c>
      <c r="D130" s="323" t="n">
        <f aca="false">+H129*$B$9/360*E130</f>
        <v>-689.188568690596</v>
      </c>
      <c r="E130" s="208" t="n">
        <v>30</v>
      </c>
      <c r="F130" s="323" t="n">
        <f aca="false">+C130+D130</f>
        <v>1874.00116055291</v>
      </c>
      <c r="G130" s="324" t="n">
        <f aca="false">+F130+M130</f>
        <v>1801.50639956744</v>
      </c>
      <c r="H130" s="320" t="n">
        <f aca="false">+H129-C130</f>
        <v>-61636.4956170088</v>
      </c>
      <c r="J130" s="325" t="n">
        <f aca="false">+H129*$J$18</f>
        <v>-69.7065009475631</v>
      </c>
      <c r="K130" s="323" t="n">
        <f aca="false">+J130*$K$18</f>
        <v>-2.43972753316471</v>
      </c>
      <c r="L130" s="323" t="n">
        <f aca="false">+J130*$L$18</f>
        <v>-0.348532504737816</v>
      </c>
      <c r="M130" s="320" t="n">
        <f aca="false">+J130+K130+L130</f>
        <v>-72.4947609854656</v>
      </c>
    </row>
    <row r="131" customFormat="false" ht="12.75" hidden="false" customHeight="false" outlineLevel="0" collapsed="false">
      <c r="A131" s="319" t="n">
        <v>113</v>
      </c>
      <c r="B131" s="207" t="n">
        <f aca="false">+B130+E131</f>
        <v>46109.3358628241</v>
      </c>
      <c r="C131" s="323" t="n">
        <f aca="false">+$D$11-D131</f>
        <v>2593.09360941801</v>
      </c>
      <c r="D131" s="323" t="n">
        <f aca="false">+H130*$B$9/360*E131</f>
        <v>-719.092448865103</v>
      </c>
      <c r="E131" s="208" t="n">
        <v>30</v>
      </c>
      <c r="F131" s="323" t="n">
        <f aca="false">+C131+D131</f>
        <v>1874.00116055291</v>
      </c>
      <c r="G131" s="324" t="n">
        <f aca="false">+F131+M131</f>
        <v>1798.36085313172</v>
      </c>
      <c r="H131" s="320" t="n">
        <f aca="false">+H130-C131</f>
        <v>-64229.5892264269</v>
      </c>
      <c r="J131" s="325" t="n">
        <f aca="false">+H130*$J$18</f>
        <v>-72.7310648280704</v>
      </c>
      <c r="K131" s="323" t="n">
        <f aca="false">+J131*$K$18</f>
        <v>-2.54558726898247</v>
      </c>
      <c r="L131" s="323" t="n">
        <f aca="false">+J131*$L$18</f>
        <v>-0.363655324140352</v>
      </c>
      <c r="M131" s="320" t="n">
        <f aca="false">+J131+K131+L131</f>
        <v>-75.6403074211932</v>
      </c>
    </row>
    <row r="132" customFormat="false" ht="12.75" hidden="false" customHeight="false" outlineLevel="0" collapsed="false">
      <c r="A132" s="319" t="n">
        <v>114</v>
      </c>
      <c r="B132" s="207" t="n">
        <f aca="false">+B131+E132</f>
        <v>46139.3358628241</v>
      </c>
      <c r="C132" s="323" t="n">
        <f aca="false">+$D$11-D132</f>
        <v>2623.34636819456</v>
      </c>
      <c r="D132" s="323" t="n">
        <f aca="false">+H131*$B$9/360*E132</f>
        <v>-749.345207641647</v>
      </c>
      <c r="E132" s="208" t="n">
        <v>30</v>
      </c>
      <c r="F132" s="323" t="n">
        <f aca="false">+C132+D132</f>
        <v>1874.00116055291</v>
      </c>
      <c r="G132" s="324" t="n">
        <f aca="false">+F132+M132</f>
        <v>1795.17860865424</v>
      </c>
      <c r="H132" s="320" t="n">
        <f aca="false">+H131-C132</f>
        <v>-66852.9355946214</v>
      </c>
      <c r="J132" s="325" t="n">
        <f aca="false">+H131*$J$18</f>
        <v>-75.7909152871837</v>
      </c>
      <c r="K132" s="323" t="n">
        <f aca="false">+J132*$K$18</f>
        <v>-2.65268203505143</v>
      </c>
      <c r="L132" s="323" t="n">
        <f aca="false">+J132*$L$18</f>
        <v>-0.378954576435918</v>
      </c>
      <c r="M132" s="320" t="n">
        <f aca="false">+J132+K132+L132</f>
        <v>-78.822551898671</v>
      </c>
    </row>
    <row r="133" customFormat="false" ht="12.75" hidden="false" customHeight="false" outlineLevel="0" collapsed="false">
      <c r="A133" s="319" t="n">
        <v>115</v>
      </c>
      <c r="B133" s="207" t="n">
        <f aca="false">+B132+E133</f>
        <v>46169.3358628241</v>
      </c>
      <c r="C133" s="323" t="n">
        <f aca="false">+$D$11-D133</f>
        <v>2653.95207582349</v>
      </c>
      <c r="D133" s="323" t="n">
        <f aca="false">+H132*$B$9/360*E133</f>
        <v>-779.950915270583</v>
      </c>
      <c r="E133" s="208" t="n">
        <v>30</v>
      </c>
      <c r="F133" s="323" t="n">
        <f aca="false">+C133+D133</f>
        <v>1874.00116055291</v>
      </c>
      <c r="G133" s="324" t="n">
        <f aca="false">+F133+M133</f>
        <v>1791.95923799119</v>
      </c>
      <c r="H133" s="320" t="n">
        <f aca="false">+H132-C133</f>
        <v>-69506.8876704449</v>
      </c>
      <c r="J133" s="325" t="n">
        <f aca="false">+H132*$J$18</f>
        <v>-78.8864640016533</v>
      </c>
      <c r="K133" s="323" t="n">
        <f aca="false">+J133*$K$18</f>
        <v>-2.76102624005786</v>
      </c>
      <c r="L133" s="323" t="n">
        <f aca="false">+J133*$L$18</f>
        <v>-0.394432320008266</v>
      </c>
      <c r="M133" s="320" t="n">
        <f aca="false">+J133+K133+L133</f>
        <v>-82.0419225617194</v>
      </c>
    </row>
    <row r="134" customFormat="false" ht="12.75" hidden="false" customHeight="false" outlineLevel="0" collapsed="false">
      <c r="A134" s="319" t="n">
        <v>116</v>
      </c>
      <c r="B134" s="207" t="n">
        <f aca="true">NOW()</f>
        <v>46079.3358628241</v>
      </c>
      <c r="C134" s="323" t="n">
        <f aca="false">+$D$11-D134</f>
        <v>2684.91485004143</v>
      </c>
      <c r="D134" s="323" t="n">
        <f aca="false">+H133*$B$9/360*E134</f>
        <v>-810.913689488524</v>
      </c>
      <c r="E134" s="208" t="n">
        <v>30</v>
      </c>
      <c r="F134" s="323" t="n">
        <f aca="false">+C134+D134</f>
        <v>1874.00116055291</v>
      </c>
      <c r="G134" s="324" t="n">
        <f aca="false">+F134+M134</f>
        <v>1788.70230800374</v>
      </c>
      <c r="H134" s="320" t="n">
        <f aca="false">+H133-C134</f>
        <v>-72191.8025204863</v>
      </c>
      <c r="J134" s="325" t="n">
        <f aca="false">+H133*$J$18</f>
        <v>-82.018127451125</v>
      </c>
      <c r="K134" s="323" t="n">
        <f aca="false">+J134*$K$18</f>
        <v>-2.87063446078937</v>
      </c>
      <c r="L134" s="323" t="n">
        <f aca="false">+J134*$L$18</f>
        <v>-0.410090637255625</v>
      </c>
      <c r="M134" s="320" t="n">
        <f aca="false">+J134+K134+L134</f>
        <v>-85.29885254917</v>
      </c>
    </row>
    <row r="135" customFormat="false" ht="12.75" hidden="false" customHeight="false" outlineLevel="0" collapsed="false">
      <c r="A135" s="319" t="n">
        <v>117</v>
      </c>
      <c r="B135" s="207" t="n">
        <f aca="false">+B134+E135</f>
        <v>46109.3358628241</v>
      </c>
      <c r="C135" s="323" t="n">
        <f aca="false">+$D$11-D135</f>
        <v>2716.23885662525</v>
      </c>
      <c r="D135" s="323" t="n">
        <f aca="false">+H134*$B$9/360*E135</f>
        <v>-842.23769607234</v>
      </c>
      <c r="E135" s="208" t="n">
        <v>30</v>
      </c>
      <c r="F135" s="323" t="n">
        <f aca="false">+C135+D135</f>
        <v>1874.00116055291</v>
      </c>
      <c r="G135" s="324" t="n">
        <f aca="false">+F135+M135</f>
        <v>1785.40738049977</v>
      </c>
      <c r="H135" s="320" t="n">
        <f aca="false">+H134-C135</f>
        <v>-74908.0413771116</v>
      </c>
      <c r="J135" s="325" t="n">
        <f aca="false">+H134*$J$18</f>
        <v>-85.1863269741739</v>
      </c>
      <c r="K135" s="323" t="n">
        <f aca="false">+J135*$K$18</f>
        <v>-2.98152144409609</v>
      </c>
      <c r="L135" s="323" t="n">
        <f aca="false">+J135*$L$18</f>
        <v>-0.425931634870869</v>
      </c>
      <c r="M135" s="320" t="n">
        <f aca="false">+J135+K135+L135</f>
        <v>-88.5937800531408</v>
      </c>
    </row>
    <row r="136" customFormat="false" ht="12.75" hidden="false" customHeight="false" outlineLevel="0" collapsed="false">
      <c r="A136" s="319" t="n">
        <v>118</v>
      </c>
      <c r="B136" s="207" t="n">
        <f aca="false">+B135+E136</f>
        <v>46139.3358628241</v>
      </c>
      <c r="C136" s="323" t="n">
        <f aca="false">+$D$11-D136</f>
        <v>2747.92830995254</v>
      </c>
      <c r="D136" s="323" t="n">
        <f aca="false">+H135*$B$9/360*E136</f>
        <v>-873.927149399635</v>
      </c>
      <c r="E136" s="208" t="n">
        <v>30</v>
      </c>
      <c r="F136" s="323" t="n">
        <f aca="false">+C136+D136</f>
        <v>1874.00116055291</v>
      </c>
      <c r="G136" s="324" t="n">
        <f aca="false">+F136+M136</f>
        <v>1782.07401217492</v>
      </c>
      <c r="H136" s="320" t="n">
        <f aca="false">+H135-C136</f>
        <v>-77655.9696870641</v>
      </c>
      <c r="J136" s="325" t="n">
        <f aca="false">+H135*$J$18</f>
        <v>-88.3914888249917</v>
      </c>
      <c r="K136" s="323" t="n">
        <f aca="false">+J136*$K$18</f>
        <v>-3.09370210887471</v>
      </c>
      <c r="L136" s="323" t="n">
        <f aca="false">+J136*$L$18</f>
        <v>-0.441957444124958</v>
      </c>
      <c r="M136" s="320" t="n">
        <f aca="false">+J136+K136+L136</f>
        <v>-91.9271483779913</v>
      </c>
    </row>
    <row r="137" customFormat="false" ht="12.75" hidden="false" customHeight="false" outlineLevel="0" collapsed="false">
      <c r="A137" s="319" t="n">
        <v>119</v>
      </c>
      <c r="B137" s="207" t="n">
        <f aca="false">+B136+E137</f>
        <v>46169.3358628241</v>
      </c>
      <c r="C137" s="323" t="n">
        <f aca="false">+$D$11-D137</f>
        <v>2779.98747356866</v>
      </c>
      <c r="D137" s="323" t="n">
        <f aca="false">+H136*$B$9/360*E137</f>
        <v>-905.986313015748</v>
      </c>
      <c r="E137" s="208" t="n">
        <v>30</v>
      </c>
      <c r="F137" s="323" t="n">
        <f aca="false">+C137+D137</f>
        <v>1874.00116055291</v>
      </c>
      <c r="G137" s="324" t="n">
        <f aca="false">+F137+M137</f>
        <v>1778.70175455294</v>
      </c>
      <c r="H137" s="320" t="n">
        <f aca="false">+H136-C137</f>
        <v>-80435.9571606328</v>
      </c>
      <c r="J137" s="325" t="n">
        <f aca="false">+H136*$J$18</f>
        <v>-91.6340442307357</v>
      </c>
      <c r="K137" s="323" t="n">
        <f aca="false">+J137*$K$18</f>
        <v>-3.20719154807575</v>
      </c>
      <c r="L137" s="323" t="n">
        <f aca="false">+J137*$L$18</f>
        <v>-0.458170221153678</v>
      </c>
      <c r="M137" s="320" t="n">
        <f aca="false">+J137+K137+L137</f>
        <v>-95.2994059999651</v>
      </c>
    </row>
    <row r="138" customFormat="false" ht="12.75" hidden="false" customHeight="false" outlineLevel="0" collapsed="false">
      <c r="A138" s="319" t="n">
        <v>120</v>
      </c>
      <c r="B138" s="207" t="n">
        <f aca="true">NOW()</f>
        <v>46079.3358628241</v>
      </c>
      <c r="C138" s="323" t="n">
        <f aca="false">+$D$11-D138</f>
        <v>2812.42066076029</v>
      </c>
      <c r="D138" s="323" t="n">
        <f aca="false">+H137*$B$9/360*E138</f>
        <v>-938.419500207383</v>
      </c>
      <c r="E138" s="208" t="n">
        <v>30</v>
      </c>
      <c r="F138" s="323" t="n">
        <f aca="false">+C138+D138</f>
        <v>1874.00116055291</v>
      </c>
      <c r="G138" s="324" t="n">
        <f aca="false">+F138+M138</f>
        <v>1775.29015392538</v>
      </c>
      <c r="H138" s="320" t="n">
        <f aca="false">+H137-C138</f>
        <v>-83248.3778213931</v>
      </c>
      <c r="J138" s="325" t="n">
        <f aca="false">+H137*$J$18</f>
        <v>-94.9144294495467</v>
      </c>
      <c r="K138" s="323" t="n">
        <f aca="false">+J138*$K$18</f>
        <v>-3.32200503073413</v>
      </c>
      <c r="L138" s="323" t="n">
        <f aca="false">+J138*$L$18</f>
        <v>-0.474572147247733</v>
      </c>
      <c r="M138" s="320" t="n">
        <f aca="false">+J138+K138+L138</f>
        <v>-98.7110066275286</v>
      </c>
    </row>
    <row r="139" customFormat="false" ht="12.75" hidden="false" customHeight="false" outlineLevel="0" collapsed="false">
      <c r="A139" s="319" t="n">
        <v>121</v>
      </c>
      <c r="B139" s="207" t="n">
        <f aca="false">+B138+E139</f>
        <v>46109.3358628241</v>
      </c>
      <c r="C139" s="323" t="n">
        <f aca="false">+$D$11-D139</f>
        <v>2845.23223513583</v>
      </c>
      <c r="D139" s="323" t="n">
        <f aca="false">+H138*$B$9/360*E139</f>
        <v>-971.231074582919</v>
      </c>
      <c r="E139" s="208" t="n">
        <v>30</v>
      </c>
      <c r="F139" s="323" t="n">
        <f aca="false">+C139+D139</f>
        <v>1874.00116055291</v>
      </c>
      <c r="G139" s="324" t="n">
        <f aca="false">+F139+M139</f>
        <v>1771.8387512905</v>
      </c>
      <c r="H139" s="320" t="n">
        <f aca="false">+H138-C139</f>
        <v>-86093.6100565289</v>
      </c>
      <c r="J139" s="325" t="n">
        <f aca="false">+H138*$J$18</f>
        <v>-98.2330858292438</v>
      </c>
      <c r="K139" s="323" t="n">
        <f aca="false">+J139*$K$18</f>
        <v>-3.43815800402353</v>
      </c>
      <c r="L139" s="323" t="n">
        <f aca="false">+J139*$L$18</f>
        <v>-0.491165429146219</v>
      </c>
      <c r="M139" s="320" t="n">
        <f aca="false">+J139+K139+L139</f>
        <v>-102.162409262414</v>
      </c>
    </row>
    <row r="140" customFormat="false" ht="12.75" hidden="false" customHeight="false" outlineLevel="0" collapsed="false">
      <c r="A140" s="319" t="n">
        <v>122</v>
      </c>
      <c r="B140" s="207" t="n">
        <f aca="false">+B139+E140</f>
        <v>46139.3358628241</v>
      </c>
      <c r="C140" s="323" t="n">
        <f aca="false">+$D$11-D140</f>
        <v>2878.42661121241</v>
      </c>
      <c r="D140" s="323" t="n">
        <f aca="false">+H139*$B$9/360*E140</f>
        <v>-1004.4254506595</v>
      </c>
      <c r="E140" s="208" t="n">
        <v>30</v>
      </c>
      <c r="F140" s="323" t="n">
        <f aca="false">+C140+D140</f>
        <v>1874.00116055291</v>
      </c>
      <c r="G140" s="324" t="n">
        <f aca="false">+F140+M140</f>
        <v>1768.34708229154</v>
      </c>
      <c r="H140" s="320" t="n">
        <f aca="false">+H139-C140</f>
        <v>-88972.0366677413</v>
      </c>
      <c r="J140" s="325" t="n">
        <f aca="false">+H139*$J$18</f>
        <v>-101.590459866704</v>
      </c>
      <c r="K140" s="323" t="n">
        <f aca="false">+J140*$K$18</f>
        <v>-3.55566609533464</v>
      </c>
      <c r="L140" s="323" t="n">
        <f aca="false">+J140*$L$18</f>
        <v>-0.507952299333521</v>
      </c>
      <c r="M140" s="320" t="n">
        <f aca="false">+J140+K140+L140</f>
        <v>-105.654078261372</v>
      </c>
    </row>
    <row r="141" customFormat="false" ht="12.75" hidden="false" customHeight="false" outlineLevel="0" collapsed="false">
      <c r="A141" s="319" t="n">
        <v>123</v>
      </c>
      <c r="B141" s="207" t="n">
        <f aca="false">+B140+E141</f>
        <v>46169.3358628241</v>
      </c>
      <c r="C141" s="323" t="n">
        <f aca="false">+$D$11-D141</f>
        <v>2912.00825500989</v>
      </c>
      <c r="D141" s="323" t="n">
        <f aca="false">+H140*$B$9/360*E141</f>
        <v>-1038.00709445698</v>
      </c>
      <c r="E141" s="208" t="n">
        <v>30</v>
      </c>
      <c r="F141" s="323" t="n">
        <f aca="false">+C141+D141</f>
        <v>1874.00116055291</v>
      </c>
      <c r="G141" s="324" t="n">
        <f aca="false">+F141+M141</f>
        <v>1764.81467715426</v>
      </c>
      <c r="H141" s="320" t="n">
        <f aca="false">+H140-C141</f>
        <v>-91884.0449227512</v>
      </c>
      <c r="J141" s="325" t="n">
        <f aca="false">+H140*$J$18</f>
        <v>-104.987003267935</v>
      </c>
      <c r="K141" s="323" t="n">
        <f aca="false">+J141*$K$18</f>
        <v>-3.67454511437772</v>
      </c>
      <c r="L141" s="323" t="n">
        <f aca="false">+J141*$L$18</f>
        <v>-0.524935016339674</v>
      </c>
      <c r="M141" s="320" t="n">
        <f aca="false">+J141+K141+L141</f>
        <v>-109.186483398652</v>
      </c>
    </row>
    <row r="142" customFormat="false" ht="12.75" hidden="false" customHeight="false" outlineLevel="0" collapsed="false">
      <c r="A142" s="319" t="n">
        <v>124</v>
      </c>
      <c r="B142" s="207" t="n">
        <f aca="true">NOW()</f>
        <v>46079.3358628241</v>
      </c>
      <c r="C142" s="323" t="n">
        <f aca="false">+$D$11-D142</f>
        <v>2945.98168465167</v>
      </c>
      <c r="D142" s="323" t="n">
        <f aca="false">+H141*$B$9/360*E142</f>
        <v>-1071.98052409876</v>
      </c>
      <c r="E142" s="208" t="n">
        <v>30</v>
      </c>
      <c r="F142" s="323" t="n">
        <f aca="false">+C142+D142</f>
        <v>1874.00116055291</v>
      </c>
      <c r="G142" s="324" t="n">
        <f aca="false">+F142+M142</f>
        <v>1761.24106062371</v>
      </c>
      <c r="H142" s="320" t="n">
        <f aca="false">+H141-C142</f>
        <v>-94830.0266074029</v>
      </c>
      <c r="J142" s="325" t="n">
        <f aca="false">+H141*$J$18</f>
        <v>-108.423173008846</v>
      </c>
      <c r="K142" s="323" t="n">
        <f aca="false">+J142*$K$18</f>
        <v>-3.79481105530963</v>
      </c>
      <c r="L142" s="323" t="n">
        <f aca="false">+J142*$L$18</f>
        <v>-0.542115865044232</v>
      </c>
      <c r="M142" s="320" t="n">
        <f aca="false">+J142+K142+L142</f>
        <v>-112.7600999292</v>
      </c>
    </row>
    <row r="143" customFormat="false" ht="12.75" hidden="false" customHeight="false" outlineLevel="0" collapsed="false">
      <c r="A143" s="319" t="n">
        <v>125</v>
      </c>
      <c r="B143" s="207" t="n">
        <f aca="true">NOW()</f>
        <v>46079.3358628241</v>
      </c>
      <c r="C143" s="323" t="n">
        <f aca="false">+$D$11-D143</f>
        <v>2980.35147097261</v>
      </c>
      <c r="D143" s="323" t="n">
        <f aca="false">+H142*$B$9/360*E143</f>
        <v>-1106.3503104197</v>
      </c>
      <c r="E143" s="208" t="n">
        <v>30</v>
      </c>
      <c r="F143" s="323" t="n">
        <f aca="false">+C143+D143</f>
        <v>1874.00116055291</v>
      </c>
      <c r="G143" s="324" t="n">
        <f aca="false">+F143+M143</f>
        <v>1757.6257519003</v>
      </c>
      <c r="H143" s="320" t="n">
        <f aca="false">+H142-C143</f>
        <v>-97810.3780783755</v>
      </c>
      <c r="J143" s="325" t="n">
        <f aca="false">+H142*$J$18</f>
        <v>-111.899431396735</v>
      </c>
      <c r="K143" s="323" t="n">
        <f aca="false">+J143*$K$18</f>
        <v>-3.91648009888574</v>
      </c>
      <c r="L143" s="323" t="n">
        <f aca="false">+J143*$L$18</f>
        <v>-0.559497156983677</v>
      </c>
      <c r="M143" s="320" t="n">
        <f aca="false">+J143+K143+L143</f>
        <v>-116.375408652605</v>
      </c>
    </row>
    <row r="144" customFormat="false" ht="12.75" hidden="false" customHeight="false" outlineLevel="0" collapsed="false">
      <c r="A144" s="319" t="n">
        <v>126</v>
      </c>
      <c r="B144" s="207" t="n">
        <f aca="false">+B143+E144</f>
        <v>46109.3358628241</v>
      </c>
      <c r="C144" s="323" t="n">
        <f aca="false">+$D$11-D144</f>
        <v>3015.12223813396</v>
      </c>
      <c r="D144" s="323" t="n">
        <f aca="false">+H143*$B$9/360*E144</f>
        <v>-1141.12107758105</v>
      </c>
      <c r="E144" s="208" t="n">
        <v>30</v>
      </c>
      <c r="F144" s="323" t="n">
        <f aca="false">+C144+D144</f>
        <v>1874.00116055291</v>
      </c>
      <c r="G144" s="324" t="n">
        <f aca="false">+F144+M144</f>
        <v>1753.96826457513</v>
      </c>
      <c r="H144" s="320" t="n">
        <f aca="false">+H143-C144</f>
        <v>-100825.500316509</v>
      </c>
      <c r="J144" s="325" t="n">
        <f aca="false">+H143*$J$18</f>
        <v>-115.416246132483</v>
      </c>
      <c r="K144" s="323" t="n">
        <f aca="false">+J144*$K$18</f>
        <v>-4.03956861463691</v>
      </c>
      <c r="L144" s="323" t="n">
        <f aca="false">+J144*$L$18</f>
        <v>-0.577081230662416</v>
      </c>
      <c r="M144" s="320" t="n">
        <f aca="false">+J144+K144+L144</f>
        <v>-120.032895977782</v>
      </c>
    </row>
    <row r="145" customFormat="false" ht="12.75" hidden="false" customHeight="false" outlineLevel="0" collapsed="false">
      <c r="A145" s="319" t="n">
        <v>127</v>
      </c>
      <c r="B145" s="207" t="n">
        <f aca="false">+B144+E145</f>
        <v>46139.3358628241</v>
      </c>
      <c r="C145" s="323" t="n">
        <f aca="false">+$D$11-D145</f>
        <v>3050.29866424552</v>
      </c>
      <c r="D145" s="323" t="n">
        <f aca="false">+H144*$B$9/360*E145</f>
        <v>-1176.29750369261</v>
      </c>
      <c r="E145" s="208" t="n">
        <v>30</v>
      </c>
      <c r="F145" s="323" t="n">
        <f aca="false">+C145+D145</f>
        <v>1874.00116055291</v>
      </c>
      <c r="G145" s="324" t="n">
        <f aca="false">+F145+M145</f>
        <v>1750.26810656449</v>
      </c>
      <c r="H145" s="320" t="n">
        <f aca="false">+H144-C145</f>
        <v>-103875.798980755</v>
      </c>
      <c r="J145" s="325" t="n">
        <f aca="false">+H144*$J$18</f>
        <v>-118.974090373481</v>
      </c>
      <c r="K145" s="323" t="n">
        <f aca="false">+J145*$K$18</f>
        <v>-4.16409316307184</v>
      </c>
      <c r="L145" s="323" t="n">
        <f aca="false">+J145*$L$18</f>
        <v>-0.594870451867406</v>
      </c>
      <c r="M145" s="320" t="n">
        <f aca="false">+J145+K145+L145</f>
        <v>-123.73305398842</v>
      </c>
    </row>
    <row r="146" customFormat="false" ht="12.75" hidden="false" customHeight="false" outlineLevel="0" collapsed="false">
      <c r="A146" s="319" t="n">
        <v>128</v>
      </c>
      <c r="B146" s="207" t="n">
        <f aca="false">+B145+E146</f>
        <v>46169.3358628241</v>
      </c>
      <c r="C146" s="323" t="n">
        <f aca="false">+$D$11-D146</f>
        <v>3085.88548199505</v>
      </c>
      <c r="D146" s="323" t="n">
        <f aca="false">+H145*$B$9/360*E146</f>
        <v>-1211.88432144214</v>
      </c>
      <c r="E146" s="208" t="n">
        <v>30</v>
      </c>
      <c r="F146" s="323" t="n">
        <f aca="false">+C146+D146</f>
        <v>1874.00116055291</v>
      </c>
      <c r="G146" s="324" t="n">
        <f aca="false">+F146+M146</f>
        <v>1746.52478004373</v>
      </c>
      <c r="H146" s="320" t="n">
        <f aca="false">+H145-C146</f>
        <v>-106961.68446275</v>
      </c>
      <c r="J146" s="325" t="n">
        <f aca="false">+H145*$J$18</f>
        <v>-122.573442797291</v>
      </c>
      <c r="K146" s="323" t="n">
        <f aca="false">+J146*$K$18</f>
        <v>-4.29007049790518</v>
      </c>
      <c r="L146" s="323" t="n">
        <f aca="false">+J146*$L$18</f>
        <v>-0.612867213986455</v>
      </c>
      <c r="M146" s="320" t="n">
        <f aca="false">+J146+K146+L146</f>
        <v>-127.476380509183</v>
      </c>
    </row>
    <row r="147" customFormat="false" ht="12.75" hidden="false" customHeight="false" outlineLevel="0" collapsed="false">
      <c r="A147" s="319" t="n">
        <v>129</v>
      </c>
      <c r="B147" s="207" t="n">
        <f aca="true">NOW()</f>
        <v>46079.3358628241</v>
      </c>
      <c r="C147" s="323" t="n">
        <f aca="false">+$D$11-D147</f>
        <v>3121.88747928499</v>
      </c>
      <c r="D147" s="323" t="n">
        <f aca="false">+H146*$B$9/360*E147</f>
        <v>-1247.88631873208</v>
      </c>
      <c r="E147" s="208" t="n">
        <v>30</v>
      </c>
      <c r="F147" s="323" t="n">
        <f aca="false">+C147+D147</f>
        <v>1874.00116055291</v>
      </c>
      <c r="G147" s="324" t="n">
        <f aca="false">+F147+M147</f>
        <v>1742.73778138022</v>
      </c>
      <c r="H147" s="320" t="n">
        <f aca="false">+H146-C147</f>
        <v>-110083.571942035</v>
      </c>
      <c r="J147" s="325" t="n">
        <f aca="false">+H146*$J$18</f>
        <v>-126.214787666045</v>
      </c>
      <c r="K147" s="323" t="n">
        <f aca="false">+J147*$K$18</f>
        <v>-4.41751756831158</v>
      </c>
      <c r="L147" s="323" t="n">
        <f aca="false">+J147*$L$18</f>
        <v>-0.631073938330225</v>
      </c>
      <c r="M147" s="320" t="n">
        <f aca="false">+J147+K147+L147</f>
        <v>-131.263379172687</v>
      </c>
    </row>
    <row r="148" customFormat="false" ht="12.75" hidden="false" customHeight="false" outlineLevel="0" collapsed="false">
      <c r="A148" s="319" t="n">
        <v>130</v>
      </c>
      <c r="B148" s="207" t="n">
        <f aca="false">+B147+E148</f>
        <v>46109.3358628241</v>
      </c>
      <c r="C148" s="323" t="n">
        <f aca="false">+$D$11-D148</f>
        <v>3158.30949987665</v>
      </c>
      <c r="D148" s="323" t="n">
        <f aca="false">+H147*$B$9/360*E148</f>
        <v>-1284.30833932374</v>
      </c>
      <c r="E148" s="208" t="n">
        <v>30</v>
      </c>
      <c r="F148" s="323" t="n">
        <f aca="false">+C148+D148</f>
        <v>1874.00116055291</v>
      </c>
      <c r="G148" s="324" t="n">
        <f aca="false">+F148+M148</f>
        <v>1738.90660106564</v>
      </c>
      <c r="H148" s="320" t="n">
        <f aca="false">+H147-C148</f>
        <v>-113241.881441912</v>
      </c>
      <c r="J148" s="325" t="n">
        <f aca="false">+H147*$J$18</f>
        <v>-129.898614891601</v>
      </c>
      <c r="K148" s="323" t="n">
        <f aca="false">+J148*$K$18</f>
        <v>-4.54645152120605</v>
      </c>
      <c r="L148" s="323" t="n">
        <f aca="false">+J148*$L$18</f>
        <v>-0.649493074458007</v>
      </c>
      <c r="M148" s="320" t="n">
        <f aca="false">+J148+K148+L148</f>
        <v>-135.094559487265</v>
      </c>
    </row>
    <row r="149" customFormat="false" ht="12.75" hidden="false" customHeight="false" outlineLevel="0" collapsed="false">
      <c r="A149" s="319" t="n">
        <v>131</v>
      </c>
      <c r="B149" s="207" t="n">
        <f aca="false">+B148+E149</f>
        <v>46139.3358628241</v>
      </c>
      <c r="C149" s="323" t="n">
        <f aca="false">+$D$11-D149</f>
        <v>3195.15644404188</v>
      </c>
      <c r="D149" s="323" t="n">
        <f aca="false">+H148*$B$9/360*E149</f>
        <v>-1321.15528348897</v>
      </c>
      <c r="E149" s="208" t="n">
        <v>30</v>
      </c>
      <c r="F149" s="323" t="n">
        <f aca="false">+C149+D149</f>
        <v>1874.00116055291</v>
      </c>
      <c r="G149" s="324" t="n">
        <f aca="false">+F149+M149</f>
        <v>1735.03072364739</v>
      </c>
      <c r="H149" s="320" t="n">
        <f aca="false">+H148-C149</f>
        <v>-116437.037885954</v>
      </c>
      <c r="J149" s="325" t="n">
        <f aca="false">+H148*$J$18</f>
        <v>-133.625420101456</v>
      </c>
      <c r="K149" s="323" t="n">
        <f aca="false">+J149*$K$18</f>
        <v>-4.67688970355095</v>
      </c>
      <c r="L149" s="323" t="n">
        <f aca="false">+J149*$L$18</f>
        <v>-0.668127100507279</v>
      </c>
      <c r="M149" s="320" t="n">
        <f aca="false">+J149+K149+L149</f>
        <v>-138.970436905514</v>
      </c>
    </row>
    <row r="150" customFormat="false" ht="12.75" hidden="false" customHeight="false" outlineLevel="0" collapsed="false">
      <c r="A150" s="319" t="n">
        <v>132</v>
      </c>
      <c r="B150" s="207" t="n">
        <f aca="false">+B149+E150</f>
        <v>46169.3358628241</v>
      </c>
      <c r="C150" s="323" t="n">
        <f aca="false">+$D$11-D150</f>
        <v>3232.43326922237</v>
      </c>
      <c r="D150" s="323" t="n">
        <f aca="false">+H149*$B$9/360*E150</f>
        <v>-1358.43210866946</v>
      </c>
      <c r="E150" s="208" t="n">
        <v>30</v>
      </c>
      <c r="F150" s="323" t="n">
        <f aca="false">+C150+D150</f>
        <v>1874.00116055291</v>
      </c>
      <c r="G150" s="324" t="n">
        <f aca="false">+F150+M150</f>
        <v>1731.10962765927</v>
      </c>
      <c r="H150" s="320" t="n">
        <f aca="false">+H149-C150</f>
        <v>-119669.471155176</v>
      </c>
      <c r="J150" s="325" t="n">
        <f aca="false">+H149*$J$18</f>
        <v>-137.395704705425</v>
      </c>
      <c r="K150" s="323" t="n">
        <f aca="false">+J150*$K$18</f>
        <v>-4.80884966468988</v>
      </c>
      <c r="L150" s="323" t="n">
        <f aca="false">+J150*$L$18</f>
        <v>-0.686978523527126</v>
      </c>
      <c r="M150" s="320" t="n">
        <f aca="false">+J150+K150+L150</f>
        <v>-142.891532893642</v>
      </c>
    </row>
    <row r="151" customFormat="false" ht="12.75" hidden="false" customHeight="false" outlineLevel="0" collapsed="false">
      <c r="A151" s="319" t="n">
        <v>133</v>
      </c>
      <c r="B151" s="207" t="n">
        <f aca="true">NOW()</f>
        <v>46079.3358628241</v>
      </c>
      <c r="C151" s="323" t="n">
        <f aca="false">+$D$11-D151</f>
        <v>3270.14499069663</v>
      </c>
      <c r="D151" s="323" t="n">
        <f aca="false">+H150*$B$9/360*E151</f>
        <v>-1396.14383014372</v>
      </c>
      <c r="E151" s="208" t="n">
        <v>30</v>
      </c>
      <c r="F151" s="323" t="n">
        <f aca="false">+C151+D151</f>
        <v>1874.00116055291</v>
      </c>
      <c r="G151" s="324" t="n">
        <f aca="false">+F151+M151</f>
        <v>1727.14278555128</v>
      </c>
      <c r="H151" s="320" t="n">
        <f aca="false">+H150-C151</f>
        <v>-122939.616145873</v>
      </c>
      <c r="J151" s="325" t="n">
        <f aca="false">+H150*$J$18</f>
        <v>-141.209975963108</v>
      </c>
      <c r="K151" s="323" t="n">
        <f aca="false">+J151*$K$18</f>
        <v>-4.94234915870877</v>
      </c>
      <c r="L151" s="323" t="n">
        <f aca="false">+J151*$L$18</f>
        <v>-0.706049879815538</v>
      </c>
      <c r="M151" s="320" t="n">
        <f aca="false">+J151+K151+L151</f>
        <v>-146.858375001632</v>
      </c>
    </row>
    <row r="152" customFormat="false" ht="12.75" hidden="false" customHeight="false" outlineLevel="0" collapsed="false">
      <c r="A152" s="319" t="n">
        <v>134</v>
      </c>
      <c r="B152" s="207" t="n">
        <f aca="false">+B151+E152</f>
        <v>46109.3358628241</v>
      </c>
      <c r="C152" s="323" t="n">
        <f aca="false">+$D$11-D152</f>
        <v>3308.29668225476</v>
      </c>
      <c r="D152" s="323" t="n">
        <f aca="false">+H151*$B$9/360*E152</f>
        <v>-1434.29552170185</v>
      </c>
      <c r="E152" s="208" t="n">
        <v>30</v>
      </c>
      <c r="F152" s="323" t="n">
        <f aca="false">+C152+D152</f>
        <v>1874.00116055291</v>
      </c>
      <c r="G152" s="324" t="n">
        <f aca="false">+F152+M152</f>
        <v>1723.12966361869</v>
      </c>
      <c r="H152" s="320" t="n">
        <f aca="false">+H151-C152</f>
        <v>-126247.912828127</v>
      </c>
      <c r="J152" s="325" t="n">
        <f aca="false">+H151*$J$18</f>
        <v>-145.06874705213</v>
      </c>
      <c r="K152" s="323" t="n">
        <f aca="false">+J152*$K$18</f>
        <v>-5.07740614682454</v>
      </c>
      <c r="L152" s="323" t="n">
        <f aca="false">+J152*$L$18</f>
        <v>-0.725343735260648</v>
      </c>
      <c r="M152" s="320" t="n">
        <f aca="false">+J152+K152+L152</f>
        <v>-150.871496934215</v>
      </c>
    </row>
    <row r="153" customFormat="false" ht="12.75" hidden="false" customHeight="false" outlineLevel="0" collapsed="false">
      <c r="A153" s="319" t="n">
        <v>135</v>
      </c>
      <c r="B153" s="207" t="n">
        <f aca="false">+B152+E153</f>
        <v>46139.3358628241</v>
      </c>
      <c r="C153" s="323" t="n">
        <f aca="false">+$D$11-D153</f>
        <v>3346.89347688106</v>
      </c>
      <c r="D153" s="323" t="n">
        <f aca="false">+H152*$B$9/360*E153</f>
        <v>-1472.89231632815</v>
      </c>
      <c r="E153" s="208" t="n">
        <v>30</v>
      </c>
      <c r="F153" s="323" t="n">
        <f aca="false">+C153+D153</f>
        <v>1874.00116055291</v>
      </c>
      <c r="G153" s="324" t="n">
        <f aca="false">+F153+M153</f>
        <v>1719.06972193023</v>
      </c>
      <c r="H153" s="320" t="n">
        <f aca="false">+H152-C153</f>
        <v>-129594.806305008</v>
      </c>
      <c r="J153" s="325" t="n">
        <f aca="false">+H152*$J$18</f>
        <v>-148.97253713719</v>
      </c>
      <c r="K153" s="323" t="n">
        <f aca="false">+J153*$K$18</f>
        <v>-5.21403879980166</v>
      </c>
      <c r="L153" s="323" t="n">
        <f aca="false">+J153*$L$18</f>
        <v>-0.744862685685951</v>
      </c>
      <c r="M153" s="320" t="n">
        <f aca="false">+J153+K153+L153</f>
        <v>-154.931438622678</v>
      </c>
    </row>
    <row r="154" customFormat="false" ht="12.75" hidden="false" customHeight="false" outlineLevel="0" collapsed="false">
      <c r="A154" s="319" t="n">
        <v>136</v>
      </c>
      <c r="B154" s="207" t="n">
        <f aca="false">+B153+E154</f>
        <v>46169.3358628241</v>
      </c>
      <c r="C154" s="323" t="n">
        <f aca="false">+$D$11-D154</f>
        <v>3385.94056744467</v>
      </c>
      <c r="D154" s="323" t="n">
        <f aca="false">+H153*$B$9/360*E154</f>
        <v>-1511.93940689176</v>
      </c>
      <c r="E154" s="208" t="n">
        <v>30</v>
      </c>
      <c r="F154" s="323" t="n">
        <f aca="false">+C154+D154</f>
        <v>1874.00116055291</v>
      </c>
      <c r="G154" s="324" t="n">
        <f aca="false">+F154+M154</f>
        <v>1714.9624142554</v>
      </c>
      <c r="H154" s="320" t="n">
        <f aca="false">+H153-C154</f>
        <v>-132980.746872453</v>
      </c>
      <c r="J154" s="325" t="n">
        <f aca="false">+H153*$J$18</f>
        <v>-152.92187143991</v>
      </c>
      <c r="K154" s="323" t="n">
        <f aca="false">+J154*$K$18</f>
        <v>-5.35226550039685</v>
      </c>
      <c r="L154" s="323" t="n">
        <f aca="false">+J154*$L$18</f>
        <v>-0.76460935719955</v>
      </c>
      <c r="M154" s="320" t="n">
        <f aca="false">+J154+K154+L154</f>
        <v>-159.038746297506</v>
      </c>
    </row>
    <row r="155" customFormat="false" ht="12.75" hidden="false" customHeight="false" outlineLevel="0" collapsed="false">
      <c r="A155" s="319" t="n">
        <v>137</v>
      </c>
      <c r="B155" s="207" t="n">
        <f aca="true">NOW()</f>
        <v>46079.3358628241</v>
      </c>
      <c r="C155" s="323" t="n">
        <f aca="false">+$D$11-D155</f>
        <v>3425.44320739819</v>
      </c>
      <c r="D155" s="323" t="n">
        <f aca="false">+H154*$B$9/360*E155</f>
        <v>-1551.44204684529</v>
      </c>
      <c r="E155" s="208" t="n">
        <v>30</v>
      </c>
      <c r="F155" s="323" t="n">
        <f aca="false">+C155+D155</f>
        <v>1874.00116055291</v>
      </c>
      <c r="G155" s="324" t="n">
        <f aca="false">+F155+M155</f>
        <v>1710.80718799103</v>
      </c>
      <c r="H155" s="320" t="n">
        <f aca="false">+H154-C155</f>
        <v>-136406.190079851</v>
      </c>
      <c r="J155" s="325" t="n">
        <f aca="false">+H154*$J$18</f>
        <v>-156.917281309495</v>
      </c>
      <c r="K155" s="323" t="n">
        <f aca="false">+J155*$K$18</f>
        <v>-5.49210484583231</v>
      </c>
      <c r="L155" s="323" t="n">
        <f aca="false">+J155*$L$18</f>
        <v>-0.784586406547473</v>
      </c>
      <c r="M155" s="320" t="n">
        <f aca="false">+J155+K155+L155</f>
        <v>-163.193972561874</v>
      </c>
    </row>
    <row r="156" customFormat="false" ht="12.75" hidden="false" customHeight="false" outlineLevel="0" collapsed="false">
      <c r="A156" s="319" t="n">
        <v>138</v>
      </c>
      <c r="B156" s="207" t="n">
        <f aca="false">+B155+E156</f>
        <v>46109.3358628241</v>
      </c>
      <c r="C156" s="323" t="n">
        <f aca="false">+$D$11-D156</f>
        <v>3465.40671148451</v>
      </c>
      <c r="D156" s="323" t="n">
        <f aca="false">+H155*$B$9/360*E156</f>
        <v>-1591.4055509316</v>
      </c>
      <c r="E156" s="208" t="n">
        <v>30</v>
      </c>
      <c r="F156" s="323" t="n">
        <f aca="false">+C156+D156</f>
        <v>1874.00116055291</v>
      </c>
      <c r="G156" s="324" t="n">
        <f aca="false">+F156+M156</f>
        <v>1706.60348408692</v>
      </c>
      <c r="H156" s="320" t="n">
        <f aca="false">+H155-C156</f>
        <v>-139871.596791336</v>
      </c>
      <c r="J156" s="325" t="n">
        <f aca="false">+H155*$J$18</f>
        <v>-160.959304294225</v>
      </c>
      <c r="K156" s="323" t="n">
        <f aca="false">+J156*$K$18</f>
        <v>-5.63357565029786</v>
      </c>
      <c r="L156" s="323" t="n">
        <f aca="false">+J156*$L$18</f>
        <v>-0.804796521471123</v>
      </c>
      <c r="M156" s="320" t="n">
        <f aca="false">+J156+K156+L156</f>
        <v>-167.397676465994</v>
      </c>
    </row>
    <row r="157" customFormat="false" ht="12.75" hidden="false" customHeight="false" outlineLevel="0" collapsed="false">
      <c r="A157" s="319" t="n">
        <v>139</v>
      </c>
      <c r="B157" s="207" t="n">
        <f aca="false">+B156+E157</f>
        <v>46139.3358628241</v>
      </c>
      <c r="C157" s="323" t="n">
        <f aca="false">+$D$11-D157</f>
        <v>3505.83645645183</v>
      </c>
      <c r="D157" s="323" t="n">
        <f aca="false">+H156*$B$9/360*E157</f>
        <v>-1631.83529589892</v>
      </c>
      <c r="E157" s="208" t="n">
        <v>30</v>
      </c>
      <c r="F157" s="323" t="n">
        <f aca="false">+C157+D157</f>
        <v>1874.00116055291</v>
      </c>
      <c r="G157" s="324" t="n">
        <f aca="false">+F157+M157</f>
        <v>1702.35073697058</v>
      </c>
      <c r="H157" s="320" t="n">
        <f aca="false">+H156-C157</f>
        <v>-143377.433247788</v>
      </c>
      <c r="J157" s="325" t="n">
        <f aca="false">+H156*$J$18</f>
        <v>-165.048484213776</v>
      </c>
      <c r="K157" s="323" t="n">
        <f aca="false">+J157*$K$18</f>
        <v>-5.77669694748217</v>
      </c>
      <c r="L157" s="323" t="n">
        <f aca="false">+J157*$L$18</f>
        <v>-0.825242421068881</v>
      </c>
      <c r="M157" s="320" t="n">
        <f aca="false">+J157+K157+L157</f>
        <v>-171.650423582327</v>
      </c>
    </row>
    <row r="158" customFormat="false" ht="12.75" hidden="false" customHeight="false" outlineLevel="0" collapsed="false">
      <c r="A158" s="319" t="n">
        <v>140</v>
      </c>
      <c r="B158" s="207" t="n">
        <f aca="false">+B157+E158</f>
        <v>46169.3358628241</v>
      </c>
      <c r="C158" s="323" t="n">
        <f aca="false">+$D$11-D158</f>
        <v>3546.7378817771</v>
      </c>
      <c r="D158" s="323" t="n">
        <f aca="false">+H157*$B$9/360*E158</f>
        <v>-1672.73672122419</v>
      </c>
      <c r="E158" s="208" t="n">
        <v>30</v>
      </c>
      <c r="F158" s="323" t="n">
        <f aca="false">+C158+D158</f>
        <v>1874.00116055291</v>
      </c>
      <c r="G158" s="324" t="n">
        <f aca="false">+F158+M158</f>
        <v>1698.04837447122</v>
      </c>
      <c r="H158" s="320" t="n">
        <f aca="false">+H157-C158</f>
        <v>-146924.171129565</v>
      </c>
      <c r="J158" s="325" t="n">
        <f aca="false">+H157*$J$18</f>
        <v>-169.185371232389</v>
      </c>
      <c r="K158" s="323" t="n">
        <f aca="false">+J158*$K$18</f>
        <v>-5.92148799313363</v>
      </c>
      <c r="L158" s="323" t="n">
        <f aca="false">+J158*$L$18</f>
        <v>-0.845926856161947</v>
      </c>
      <c r="M158" s="320" t="n">
        <f aca="false">+J158+K158+L158</f>
        <v>-175.952786081685</v>
      </c>
    </row>
    <row r="159" customFormat="false" ht="12.75" hidden="false" customHeight="false" outlineLevel="0" collapsed="false">
      <c r="A159" s="319" t="n">
        <v>141</v>
      </c>
      <c r="B159" s="207" t="n">
        <f aca="true">NOW()</f>
        <v>46079.3358628241</v>
      </c>
      <c r="C159" s="323" t="n">
        <f aca="false">+$D$11-D159</f>
        <v>3588.11649039783</v>
      </c>
      <c r="D159" s="323" t="n">
        <f aca="false">+H158*$B$9/360*E159</f>
        <v>-1714.11532984492</v>
      </c>
      <c r="E159" s="208" t="n">
        <v>30</v>
      </c>
      <c r="F159" s="323" t="n">
        <f aca="false">+C159+D159</f>
        <v>1874.00116055291</v>
      </c>
      <c r="G159" s="324" t="n">
        <f aca="false">+F159+M159</f>
        <v>1693.69581774271</v>
      </c>
      <c r="H159" s="320" t="n">
        <f aca="false">+H158-C159</f>
        <v>-150512.287619963</v>
      </c>
      <c r="J159" s="325" t="n">
        <f aca="false">+H158*$J$18</f>
        <v>-173.370521932886</v>
      </c>
      <c r="K159" s="323" t="n">
        <f aca="false">+J159*$K$18</f>
        <v>-6.06796826765102</v>
      </c>
      <c r="L159" s="323" t="n">
        <f aca="false">+J159*$L$18</f>
        <v>-0.866852609664432</v>
      </c>
      <c r="M159" s="320" t="n">
        <f aca="false">+J159+K159+L159</f>
        <v>-180.305342810202</v>
      </c>
    </row>
    <row r="160" customFormat="false" ht="12.75" hidden="false" customHeight="false" outlineLevel="0" collapsed="false">
      <c r="A160" s="319" t="n">
        <v>142</v>
      </c>
      <c r="B160" s="207" t="n">
        <f aca="false">+B159+E160</f>
        <v>46109.3358628241</v>
      </c>
      <c r="C160" s="323" t="n">
        <f aca="false">+$D$11-D160</f>
        <v>3629.97784945247</v>
      </c>
      <c r="D160" s="323" t="n">
        <f aca="false">+H159*$B$9/360*E160</f>
        <v>-1755.97668889956</v>
      </c>
      <c r="E160" s="208" t="n">
        <v>30</v>
      </c>
      <c r="F160" s="323" t="n">
        <f aca="false">+C160+D160</f>
        <v>1874.00116055291</v>
      </c>
      <c r="G160" s="324" t="n">
        <f aca="false">+F160+M160</f>
        <v>1689.29248118569</v>
      </c>
      <c r="H160" s="320" t="n">
        <f aca="false">+H159-C160</f>
        <v>-154142.265469415</v>
      </c>
      <c r="J160" s="325" t="n">
        <f aca="false">+H159*$J$18</f>
        <v>-177.604499391556</v>
      </c>
      <c r="K160" s="323" t="n">
        <f aca="false">+J160*$K$18</f>
        <v>-6.21615747870445</v>
      </c>
      <c r="L160" s="323" t="n">
        <f aca="false">+J160*$L$18</f>
        <v>-0.888022496957779</v>
      </c>
      <c r="M160" s="320" t="n">
        <f aca="false">+J160+K160+L160</f>
        <v>-184.708679367218</v>
      </c>
    </row>
    <row r="161" customFormat="false" ht="12.75" hidden="false" customHeight="false" outlineLevel="0" collapsed="false">
      <c r="A161" s="319" t="n">
        <v>143</v>
      </c>
      <c r="B161" s="207" t="n">
        <f aca="false">+B160+E161</f>
        <v>46139.3358628241</v>
      </c>
      <c r="C161" s="323" t="n">
        <f aca="false">+$D$11-D161</f>
        <v>3672.32759102942</v>
      </c>
      <c r="D161" s="323" t="n">
        <f aca="false">+H160*$B$9/360*E161</f>
        <v>-1798.32643047651</v>
      </c>
      <c r="E161" s="208" t="n">
        <v>30</v>
      </c>
      <c r="F161" s="323" t="n">
        <f aca="false">+C161+D161</f>
        <v>1874.00116055291</v>
      </c>
      <c r="G161" s="324" t="n">
        <f aca="false">+F161+M161</f>
        <v>1684.83777236884</v>
      </c>
      <c r="H161" s="320" t="n">
        <f aca="false">+H160-C161</f>
        <v>-157814.593060444</v>
      </c>
      <c r="J161" s="325" t="n">
        <f aca="false">+H160*$J$18</f>
        <v>-181.88787325391</v>
      </c>
      <c r="K161" s="323" t="n">
        <f aca="false">+J161*$K$18</f>
        <v>-6.36607556388684</v>
      </c>
      <c r="L161" s="323" t="n">
        <f aca="false">+J161*$L$18</f>
        <v>-0.909439366269549</v>
      </c>
      <c r="M161" s="320" t="n">
        <f aca="false">+J161+K161+L161</f>
        <v>-189.163388184066</v>
      </c>
    </row>
    <row r="162" customFormat="false" ht="12.75" hidden="false" customHeight="false" outlineLevel="0" collapsed="false">
      <c r="A162" s="319" t="n">
        <v>144</v>
      </c>
      <c r="B162" s="207" t="n">
        <f aca="false">+B161+E162</f>
        <v>46169.3358628241</v>
      </c>
      <c r="C162" s="323" t="n">
        <f aca="false">+$D$11-D162</f>
        <v>3715.17141292476</v>
      </c>
      <c r="D162" s="323" t="n">
        <f aca="false">+H161*$B$9/360*E162</f>
        <v>-1841.17025237185</v>
      </c>
      <c r="E162" s="208" t="n">
        <v>30</v>
      </c>
      <c r="F162" s="323" t="n">
        <f aca="false">+C162+D162</f>
        <v>1874.00116055291</v>
      </c>
      <c r="G162" s="324" t="n">
        <f aca="false">+F162+M162</f>
        <v>1680.33109194913</v>
      </c>
      <c r="H162" s="320" t="n">
        <f aca="false">+H161-C162</f>
        <v>-161529.764473369</v>
      </c>
      <c r="J162" s="325" t="n">
        <f aca="false">+H161*$J$18</f>
        <v>-186.221219811324</v>
      </c>
      <c r="K162" s="323" t="n">
        <f aca="false">+J162*$K$18</f>
        <v>-6.51774269339636</v>
      </c>
      <c r="L162" s="323" t="n">
        <f aca="false">+J162*$L$18</f>
        <v>-0.931106099056622</v>
      </c>
      <c r="M162" s="320" t="n">
        <f aca="false">+J162+K162+L162</f>
        <v>-193.670068603777</v>
      </c>
    </row>
    <row r="163" customFormat="false" ht="12.75" hidden="false" customHeight="false" outlineLevel="0" collapsed="false">
      <c r="A163" s="319" t="n">
        <v>145</v>
      </c>
      <c r="B163" s="207" t="n">
        <f aca="true">NOW()</f>
        <v>46079.3358628241</v>
      </c>
      <c r="C163" s="323" t="n">
        <f aca="false">+$D$11-D163</f>
        <v>3758.51507940888</v>
      </c>
      <c r="D163" s="323" t="n">
        <f aca="false">+H162*$B$9/360*E163</f>
        <v>-1884.51391885597</v>
      </c>
      <c r="E163" s="208" t="n">
        <v>30</v>
      </c>
      <c r="F163" s="323" t="n">
        <f aca="false">+C163+D163</f>
        <v>1874.00116055291</v>
      </c>
      <c r="G163" s="324" t="n">
        <f aca="false">+F163+M163</f>
        <v>1675.77183359119</v>
      </c>
      <c r="H163" s="320" t="n">
        <f aca="false">+H162-C163</f>
        <v>-165288.279552778</v>
      </c>
      <c r="J163" s="325" t="n">
        <f aca="false">+H162*$J$18</f>
        <v>-190.605122078576</v>
      </c>
      <c r="K163" s="323" t="n">
        <f aca="false">+J163*$K$18</f>
        <v>-6.67117927275015</v>
      </c>
      <c r="L163" s="323" t="n">
        <f aca="false">+J163*$L$18</f>
        <v>-0.953025610392878</v>
      </c>
      <c r="M163" s="320" t="n">
        <f aca="false">+J163+K163+L163</f>
        <v>-198.229326961719</v>
      </c>
    </row>
    <row r="164" customFormat="false" ht="12.75" hidden="false" customHeight="false" outlineLevel="0" collapsed="false">
      <c r="A164" s="319" t="n">
        <v>146</v>
      </c>
      <c r="B164" s="207" t="n">
        <f aca="false">+B163+E164</f>
        <v>46109.3358628241</v>
      </c>
      <c r="C164" s="323" t="n">
        <f aca="false">+$D$11-D164</f>
        <v>3802.36442200199</v>
      </c>
      <c r="D164" s="323" t="n">
        <f aca="false">+H163*$B$9/360*E164</f>
        <v>-1928.36326144908</v>
      </c>
      <c r="E164" s="208" t="n">
        <v>30</v>
      </c>
      <c r="F164" s="323" t="n">
        <f aca="false">+C164+D164</f>
        <v>1874.00116055291</v>
      </c>
      <c r="G164" s="324" t="n">
        <f aca="false">+F164+M164</f>
        <v>1671.15938388574</v>
      </c>
      <c r="H164" s="320" t="n">
        <f aca="false">+H163-C164</f>
        <v>-169090.64397478</v>
      </c>
      <c r="J164" s="325" t="n">
        <f aca="false">+H163*$J$18</f>
        <v>-195.040169872278</v>
      </c>
      <c r="K164" s="323" t="n">
        <f aca="false">+J164*$K$18</f>
        <v>-6.82640594552974</v>
      </c>
      <c r="L164" s="323" t="n">
        <f aca="false">+J164*$L$18</f>
        <v>-0.975200849361391</v>
      </c>
      <c r="M164" s="320" t="n">
        <f aca="false">+J164+K164+L164</f>
        <v>-202.841776667169</v>
      </c>
    </row>
    <row r="165" customFormat="false" ht="12.75" hidden="false" customHeight="false" outlineLevel="0" collapsed="false">
      <c r="A165" s="319" t="n">
        <v>147</v>
      </c>
      <c r="B165" s="207" t="n">
        <f aca="false">+B164+E165</f>
        <v>46139.3358628241</v>
      </c>
      <c r="C165" s="323" t="n">
        <f aca="false">+$D$11-D165</f>
        <v>3846.72534025868</v>
      </c>
      <c r="D165" s="323" t="n">
        <f aca="false">+H164*$B$9/360*E165</f>
        <v>-1972.72417970577</v>
      </c>
      <c r="E165" s="208" t="n">
        <v>30</v>
      </c>
      <c r="F165" s="323" t="n">
        <f aca="false">+C165+D165</f>
        <v>1874.00116055291</v>
      </c>
      <c r="G165" s="324" t="n">
        <f aca="false">+F165+M165</f>
        <v>1666.49312226706</v>
      </c>
      <c r="H165" s="320" t="n">
        <f aca="false">+H164-C165</f>
        <v>-172937.369315039</v>
      </c>
      <c r="J165" s="325" t="n">
        <f aca="false">+H164*$J$18</f>
        <v>-199.52695989024</v>
      </c>
      <c r="K165" s="323" t="n">
        <f aca="false">+J165*$K$18</f>
        <v>-6.98344359615842</v>
      </c>
      <c r="L165" s="323" t="n">
        <f aca="false">+J165*$L$18</f>
        <v>-0.997634799451202</v>
      </c>
      <c r="M165" s="320" t="n">
        <f aca="false">+J165+K165+L165</f>
        <v>-207.50803828585</v>
      </c>
    </row>
    <row r="166" customFormat="false" ht="12.75" hidden="false" customHeight="false" outlineLevel="0" collapsed="false">
      <c r="A166" s="319" t="n">
        <v>148</v>
      </c>
      <c r="B166" s="207" t="n">
        <f aca="false">+B165+E166</f>
        <v>46169.3358628241</v>
      </c>
      <c r="C166" s="323" t="n">
        <f aca="false">+$D$11-D166</f>
        <v>3891.60380256169</v>
      </c>
      <c r="D166" s="323" t="n">
        <f aca="false">+H165*$B$9/360*E166</f>
        <v>-2017.60264200879</v>
      </c>
      <c r="E166" s="208" t="n">
        <v>30</v>
      </c>
      <c r="F166" s="323" t="n">
        <f aca="false">+C166+D166</f>
        <v>1874.00116055291</v>
      </c>
      <c r="G166" s="324" t="n">
        <f aca="false">+F166+M166</f>
        <v>1661.77242092949</v>
      </c>
      <c r="H166" s="320" t="n">
        <f aca="false">+H165-C166</f>
        <v>-176828.9731176</v>
      </c>
      <c r="J166" s="325" t="n">
        <f aca="false">+H165*$J$18</f>
        <v>-204.066095791746</v>
      </c>
      <c r="K166" s="323" t="n">
        <f aca="false">+J166*$K$18</f>
        <v>-7.1423133527111</v>
      </c>
      <c r="L166" s="323" t="n">
        <f aca="false">+J166*$L$18</f>
        <v>-1.02033047895873</v>
      </c>
      <c r="M166" s="320" t="n">
        <f aca="false">+J166+K166+L166</f>
        <v>-212.228739623416</v>
      </c>
    </row>
    <row r="167" customFormat="false" ht="12.75" hidden="false" customHeight="false" outlineLevel="0" collapsed="false">
      <c r="A167" s="319" t="n">
        <v>149</v>
      </c>
      <c r="B167" s="207" t="n">
        <f aca="true">NOW()</f>
        <v>46079.3358628241</v>
      </c>
      <c r="C167" s="323" t="n">
        <f aca="false">+$D$11-D167</f>
        <v>3937.00584692491</v>
      </c>
      <c r="D167" s="323" t="n">
        <f aca="false">+H166*$B$9/360*E167</f>
        <v>-2063.00468637201</v>
      </c>
      <c r="E167" s="208" t="n">
        <v>30</v>
      </c>
      <c r="F167" s="323" t="n">
        <f aca="false">+C167+D167</f>
        <v>1874.00116055291</v>
      </c>
      <c r="G167" s="324" t="n">
        <f aca="false">+F167+M167</f>
        <v>1656.99664474299</v>
      </c>
      <c r="H167" s="320" t="n">
        <f aca="false">+H166-C167</f>
        <v>-180765.978964525</v>
      </c>
      <c r="J167" s="325" t="n">
        <f aca="false">+H166*$J$18</f>
        <v>-208.658188278769</v>
      </c>
      <c r="K167" s="323" t="n">
        <f aca="false">+J167*$K$18</f>
        <v>-7.3030365897569</v>
      </c>
      <c r="L167" s="323" t="n">
        <f aca="false">+J167*$L$18</f>
        <v>-1.04329094139384</v>
      </c>
      <c r="M167" s="320" t="n">
        <f aca="false">+J167+K167+L167</f>
        <v>-217.004515809919</v>
      </c>
    </row>
    <row r="168" customFormat="false" ht="12.75" hidden="false" customHeight="false" outlineLevel="0" collapsed="false">
      <c r="A168" s="319" t="n">
        <v>150</v>
      </c>
      <c r="B168" s="207" t="n">
        <f aca="true">NOW()</f>
        <v>46079.3358628241</v>
      </c>
      <c r="C168" s="323" t="n">
        <f aca="false">+$D$11-D168</f>
        <v>3982.93758180571</v>
      </c>
      <c r="D168" s="323" t="n">
        <f aca="false">+H167*$B$9/360*E168</f>
        <v>-2108.9364212528</v>
      </c>
      <c r="E168" s="208" t="n">
        <v>30</v>
      </c>
      <c r="F168" s="323" t="n">
        <f aca="false">+C168+D168</f>
        <v>1874.00116055291</v>
      </c>
      <c r="G168" s="324" t="n">
        <f aca="false">+F168+M168</f>
        <v>1652.16515116764</v>
      </c>
      <c r="H168" s="320" t="n">
        <f aca="false">+H167-C168</f>
        <v>-184748.916546331</v>
      </c>
      <c r="J168" s="325" t="n">
        <f aca="false">+H167*$J$18</f>
        <v>-213.30385517814</v>
      </c>
      <c r="K168" s="323" t="n">
        <f aca="false">+J168*$K$18</f>
        <v>-7.4656349312349</v>
      </c>
      <c r="L168" s="323" t="n">
        <f aca="false">+J168*$L$18</f>
        <v>-1.0665192758907</v>
      </c>
      <c r="M168" s="320" t="n">
        <f aca="false">+J168+K168+L168</f>
        <v>-221.836009385266</v>
      </c>
    </row>
    <row r="169" customFormat="false" ht="12.75" hidden="false" customHeight="false" outlineLevel="0" collapsed="false">
      <c r="A169" s="319" t="n">
        <v>151</v>
      </c>
      <c r="B169" s="207" t="n">
        <f aca="false">+B168+E169</f>
        <v>46109.3358628241</v>
      </c>
      <c r="C169" s="323" t="n">
        <f aca="false">+$D$11-D169</f>
        <v>4029.40518692677</v>
      </c>
      <c r="D169" s="323" t="n">
        <f aca="false">+H168*$B$9/360*E169</f>
        <v>-2155.40402637386</v>
      </c>
      <c r="E169" s="208" t="n">
        <v>30</v>
      </c>
      <c r="F169" s="323" t="n">
        <f aca="false">+C169+D169</f>
        <v>1874.00116055291</v>
      </c>
      <c r="G169" s="324" t="n">
        <f aca="false">+F169+M169</f>
        <v>1647.27729016725</v>
      </c>
      <c r="H169" s="320" t="n">
        <f aca="false">+H168-C169</f>
        <v>-188778.321733258</v>
      </c>
      <c r="J169" s="325" t="n">
        <f aca="false">+H168*$J$18</f>
        <v>-218.003721524671</v>
      </c>
      <c r="K169" s="323" t="n">
        <f aca="false">+J169*$K$18</f>
        <v>-7.63013025336347</v>
      </c>
      <c r="L169" s="323" t="n">
        <f aca="false">+J169*$L$18</f>
        <v>-1.09001860762335</v>
      </c>
      <c r="M169" s="320" t="n">
        <f aca="false">+J169+K169+L169</f>
        <v>-226.723870385657</v>
      </c>
    </row>
    <row r="170" customFormat="false" ht="12.75" hidden="false" customHeight="false" outlineLevel="0" collapsed="false">
      <c r="A170" s="319" t="n">
        <v>152</v>
      </c>
      <c r="B170" s="207" t="n">
        <f aca="false">+B169+E170</f>
        <v>46139.3358628241</v>
      </c>
      <c r="C170" s="323" t="n">
        <f aca="false">+$D$11-D170</f>
        <v>4076.41491410758</v>
      </c>
      <c r="D170" s="323" t="n">
        <f aca="false">+H169*$B$9/360*E170</f>
        <v>-2202.41375355467</v>
      </c>
      <c r="E170" s="208" t="n">
        <v>30</v>
      </c>
      <c r="F170" s="323" t="n">
        <f aca="false">+C170+D170</f>
        <v>1874.00116055291</v>
      </c>
      <c r="G170" s="324" t="n">
        <f aca="false">+F170+M170</f>
        <v>1642.33240412185</v>
      </c>
      <c r="H170" s="320" t="n">
        <f aca="false">+H169-C170</f>
        <v>-192854.736647365</v>
      </c>
      <c r="J170" s="325" t="n">
        <f aca="false">+H169*$J$18</f>
        <v>-222.758419645244</v>
      </c>
      <c r="K170" s="323" t="n">
        <f aca="false">+J170*$K$18</f>
        <v>-7.79654468758355</v>
      </c>
      <c r="L170" s="323" t="n">
        <f aca="false">+J170*$L$18</f>
        <v>-1.11379209822622</v>
      </c>
      <c r="M170" s="320" t="n">
        <f aca="false">+J170+K170+L170</f>
        <v>-231.668756431054</v>
      </c>
    </row>
    <row r="171" customFormat="false" ht="12.75" hidden="false" customHeight="false" outlineLevel="0" collapsed="false">
      <c r="A171" s="319" t="n">
        <v>153</v>
      </c>
      <c r="B171" s="207" t="n">
        <f aca="false">+B170+E171</f>
        <v>46169.3358628241</v>
      </c>
      <c r="C171" s="323" t="n">
        <f aca="false">+$D$11-D171</f>
        <v>4123.97308810551</v>
      </c>
      <c r="D171" s="323" t="n">
        <f aca="false">+H170*$B$9/360*E171</f>
        <v>-2249.9719275526</v>
      </c>
      <c r="E171" s="208" t="n">
        <v>30</v>
      </c>
      <c r="F171" s="323" t="n">
        <f aca="false">+C171+D171</f>
        <v>1874.00116055291</v>
      </c>
      <c r="G171" s="324" t="n">
        <f aca="false">+F171+M171</f>
        <v>1637.32982773926</v>
      </c>
      <c r="H171" s="320" t="n">
        <f aca="false">+H170-C171</f>
        <v>-196978.709735471</v>
      </c>
      <c r="J171" s="325" t="n">
        <f aca="false">+H170*$J$18</f>
        <v>-227.568589243891</v>
      </c>
      <c r="K171" s="323" t="n">
        <f aca="false">+J171*$K$18</f>
        <v>-7.96490062353619</v>
      </c>
      <c r="L171" s="323" t="n">
        <f aca="false">+J171*$L$18</f>
        <v>-1.13784294621946</v>
      </c>
      <c r="M171" s="320" t="n">
        <f aca="false">+J171+K171+L171</f>
        <v>-236.671332813647</v>
      </c>
    </row>
    <row r="172" customFormat="false" ht="12.75" hidden="false" customHeight="false" outlineLevel="0" collapsed="false">
      <c r="A172" s="319" t="n">
        <v>154</v>
      </c>
      <c r="B172" s="207" t="n">
        <f aca="true">NOW()</f>
        <v>46079.3358628241</v>
      </c>
      <c r="C172" s="323" t="n">
        <f aca="false">+$D$11-D172</f>
        <v>4172.08610746674</v>
      </c>
      <c r="D172" s="323" t="n">
        <f aca="false">+H171*$B$9/360*E172</f>
        <v>-2298.08494691383</v>
      </c>
      <c r="E172" s="208" t="n">
        <v>30</v>
      </c>
      <c r="F172" s="323" t="n">
        <f aca="false">+C172+D172</f>
        <v>1874.00116055291</v>
      </c>
      <c r="G172" s="324" t="n">
        <f aca="false">+F172+M172</f>
        <v>1632.26888796554</v>
      </c>
      <c r="H172" s="320" t="n">
        <f aca="false">+H171-C172</f>
        <v>-201150.795842938</v>
      </c>
      <c r="J172" s="325" t="n">
        <f aca="false">+H171*$J$18</f>
        <v>-232.434877487856</v>
      </c>
      <c r="K172" s="323" t="n">
        <f aca="false">+J172*$K$18</f>
        <v>-8.13522071207495</v>
      </c>
      <c r="L172" s="323" t="n">
        <f aca="false">+J172*$L$18</f>
        <v>-1.16217438743928</v>
      </c>
      <c r="M172" s="320" t="n">
        <f aca="false">+J172+K172+L172</f>
        <v>-241.73227258737</v>
      </c>
    </row>
    <row r="173" customFormat="false" ht="12.75" hidden="false" customHeight="false" outlineLevel="0" collapsed="false">
      <c r="A173" s="319" t="n">
        <v>155</v>
      </c>
      <c r="B173" s="207" t="n">
        <f aca="false">+B172+E173</f>
        <v>46109.3358628241</v>
      </c>
      <c r="C173" s="323" t="n">
        <f aca="false">+$D$11-D173</f>
        <v>4220.76044538718</v>
      </c>
      <c r="D173" s="323" t="n">
        <f aca="false">+H172*$B$9/360*E173</f>
        <v>-2346.75928483427</v>
      </c>
      <c r="E173" s="208" t="n">
        <v>30</v>
      </c>
      <c r="F173" s="323" t="n">
        <f aca="false">+C173+D173</f>
        <v>1874.00116055291</v>
      </c>
      <c r="G173" s="324" t="n">
        <f aca="false">+F173+M173</f>
        <v>1627.14890389446</v>
      </c>
      <c r="H173" s="320" t="n">
        <f aca="false">+H172-C173</f>
        <v>-205371.556288325</v>
      </c>
      <c r="J173" s="325" t="n">
        <f aca="false">+H172*$J$18</f>
        <v>-237.357939094666</v>
      </c>
      <c r="K173" s="323" t="n">
        <f aca="false">+J173*$K$18</f>
        <v>-8.30752786831333</v>
      </c>
      <c r="L173" s="323" t="n">
        <f aca="false">+J173*$L$18</f>
        <v>-1.18678969547333</v>
      </c>
      <c r="M173" s="320" t="n">
        <f aca="false">+J173+K173+L173</f>
        <v>-246.852256658453</v>
      </c>
    </row>
    <row r="174" customFormat="false" ht="12.75" hidden="false" customHeight="false" outlineLevel="0" collapsed="false">
      <c r="A174" s="319" t="n">
        <v>156</v>
      </c>
      <c r="B174" s="207" t="n">
        <f aca="false">+B173+E174</f>
        <v>46139.3358628241</v>
      </c>
      <c r="C174" s="323" t="n">
        <f aca="false">+$D$11-D174</f>
        <v>4270.00265058337</v>
      </c>
      <c r="D174" s="323" t="n">
        <f aca="false">+H173*$B$9/360*E174</f>
        <v>-2396.00149003046</v>
      </c>
      <c r="E174" s="208" t="n">
        <v>30</v>
      </c>
      <c r="F174" s="323" t="n">
        <f aca="false">+C174+D174</f>
        <v>1874.00116055291</v>
      </c>
      <c r="G174" s="324" t="n">
        <f aca="false">+F174+M174</f>
        <v>1621.96918667588</v>
      </c>
      <c r="H174" s="320" t="n">
        <f aca="false">+H173-C174</f>
        <v>-209641.558938908</v>
      </c>
      <c r="J174" s="325" t="n">
        <f aca="false">+H173*$J$18</f>
        <v>-242.338436420223</v>
      </c>
      <c r="K174" s="323" t="n">
        <f aca="false">+J174*$K$18</f>
        <v>-8.48184527470782</v>
      </c>
      <c r="L174" s="323" t="n">
        <f aca="false">+J174*$L$18</f>
        <v>-1.21169218210112</v>
      </c>
      <c r="M174" s="320" t="n">
        <f aca="false">+J174+K174+L174</f>
        <v>-252.031973877032</v>
      </c>
    </row>
    <row r="175" customFormat="false" ht="12.75" hidden="false" customHeight="false" outlineLevel="0" collapsed="false">
      <c r="A175" s="319" t="n">
        <v>157</v>
      </c>
      <c r="B175" s="207" t="n">
        <f aca="false">+B174+E175</f>
        <v>46169.3358628241</v>
      </c>
      <c r="C175" s="323" t="n">
        <f aca="false">+$D$11-D175</f>
        <v>4319.8193481735</v>
      </c>
      <c r="D175" s="323" t="n">
        <f aca="false">+H174*$B$9/360*E175</f>
        <v>-2445.8181876206</v>
      </c>
      <c r="E175" s="208" t="n">
        <v>30</v>
      </c>
      <c r="F175" s="323" t="n">
        <f aca="false">+C175+D175</f>
        <v>1874.00116055291</v>
      </c>
      <c r="G175" s="324" t="n">
        <f aca="false">+F175+M175</f>
        <v>1616.72903942308</v>
      </c>
      <c r="H175" s="320" t="n">
        <f aca="false">+H174-C175</f>
        <v>-213961.378287082</v>
      </c>
      <c r="J175" s="325" t="n">
        <f aca="false">+H174*$J$18</f>
        <v>-247.377039547912</v>
      </c>
      <c r="K175" s="323" t="n">
        <f aca="false">+J175*$K$18</f>
        <v>-8.65819638417691</v>
      </c>
      <c r="L175" s="323" t="n">
        <f aca="false">+J175*$L$18</f>
        <v>-1.23688519773956</v>
      </c>
      <c r="M175" s="320" t="n">
        <f aca="false">+J175+K175+L175</f>
        <v>-257.272121129828</v>
      </c>
    </row>
    <row r="176" customFormat="false" ht="12.75" hidden="false" customHeight="false" outlineLevel="0" collapsed="false">
      <c r="A176" s="319" t="n">
        <v>158</v>
      </c>
      <c r="B176" s="207" t="n">
        <f aca="true">NOW()</f>
        <v>46079.3358628241</v>
      </c>
      <c r="C176" s="323" t="n">
        <f aca="false">+$D$11-D176</f>
        <v>4370.21724056886</v>
      </c>
      <c r="D176" s="323" t="n">
        <f aca="false">+H175*$B$9/360*E176</f>
        <v>-2496.21608001595</v>
      </c>
      <c r="E176" s="208" t="n">
        <v>30</v>
      </c>
      <c r="F176" s="323" t="n">
        <f aca="false">+C176+D176</f>
        <v>1874.00116055291</v>
      </c>
      <c r="G176" s="324" t="n">
        <f aca="false">+F176+M176</f>
        <v>1611.427757119</v>
      </c>
      <c r="H176" s="320" t="n">
        <f aca="false">+H175-C176</f>
        <v>-218331.595527651</v>
      </c>
      <c r="J176" s="325" t="n">
        <f aca="false">+H175*$J$18</f>
        <v>-252.474426378756</v>
      </c>
      <c r="K176" s="323" t="n">
        <f aca="false">+J176*$K$18</f>
        <v>-8.83660492325648</v>
      </c>
      <c r="L176" s="323" t="n">
        <f aca="false">+J176*$L$18</f>
        <v>-1.26237213189378</v>
      </c>
      <c r="M176" s="320" t="n">
        <f aca="false">+J176+K176+L176</f>
        <v>-262.573403433907</v>
      </c>
    </row>
    <row r="177" customFormat="false" ht="12.75" hidden="false" customHeight="false" outlineLevel="0" collapsed="false">
      <c r="A177" s="319" t="n">
        <v>159</v>
      </c>
      <c r="B177" s="207" t="n">
        <f aca="false">+B176+E177</f>
        <v>46109.3358628241</v>
      </c>
      <c r="C177" s="323" t="n">
        <f aca="false">+$D$11-D177</f>
        <v>4421.2031083755</v>
      </c>
      <c r="D177" s="323" t="n">
        <f aca="false">+H176*$B$9/360*E177</f>
        <v>-2547.20194782259</v>
      </c>
      <c r="E177" s="208" t="n">
        <v>30</v>
      </c>
      <c r="F177" s="323" t="n">
        <f aca="false">+C177+D177</f>
        <v>1874.00116055291</v>
      </c>
      <c r="G177" s="324" t="n">
        <f aca="false">+F177+M177</f>
        <v>1606.06462652138</v>
      </c>
      <c r="H177" s="320" t="n">
        <f aca="false">+H176-C177</f>
        <v>-222752.798636026</v>
      </c>
      <c r="J177" s="325" t="n">
        <f aca="false">+H176*$J$18</f>
        <v>-257.631282722628</v>
      </c>
      <c r="K177" s="323" t="n">
        <f aca="false">+J177*$K$18</f>
        <v>-9.01709489529197</v>
      </c>
      <c r="L177" s="323" t="n">
        <f aca="false">+J177*$L$18</f>
        <v>-1.28815641361314</v>
      </c>
      <c r="M177" s="320" t="n">
        <f aca="false">+J177+K177+L177</f>
        <v>-267.936534031533</v>
      </c>
    </row>
    <row r="178" customFormat="false" ht="12.75" hidden="false" customHeight="false" outlineLevel="0" collapsed="false">
      <c r="A178" s="319" t="n">
        <v>160</v>
      </c>
      <c r="B178" s="207" t="n">
        <f aca="false">+B177+E178</f>
        <v>46139.3358628241</v>
      </c>
      <c r="C178" s="323" t="n">
        <f aca="false">+$D$11-D178</f>
        <v>4472.78381130655</v>
      </c>
      <c r="D178" s="323" t="n">
        <f aca="false">+H177*$B$9/360*E178</f>
        <v>-2598.78265075364</v>
      </c>
      <c r="E178" s="208" t="n">
        <v>30</v>
      </c>
      <c r="F178" s="323" t="n">
        <f aca="false">+C178+D178</f>
        <v>1874.00116055291</v>
      </c>
      <c r="G178" s="324" t="n">
        <f aca="false">+F178+M178</f>
        <v>1600.63892606678</v>
      </c>
      <c r="H178" s="320" t="n">
        <f aca="false">+H177-C178</f>
        <v>-227225.582447333</v>
      </c>
      <c r="J178" s="325" t="n">
        <f aca="false">+H177*$J$18</f>
        <v>-262.848302390511</v>
      </c>
      <c r="K178" s="323" t="n">
        <f aca="false">+J178*$K$18</f>
        <v>-9.19969058366788</v>
      </c>
      <c r="L178" s="323" t="n">
        <f aca="false">+J178*$L$18</f>
        <v>-1.31424151195255</v>
      </c>
      <c r="M178" s="320" t="n">
        <f aca="false">+J178+K178+L178</f>
        <v>-273.362234486131</v>
      </c>
    </row>
    <row r="179" customFormat="false" ht="12.75" hidden="false" customHeight="false" outlineLevel="0" collapsed="false">
      <c r="A179" s="319" t="n">
        <v>161</v>
      </c>
      <c r="B179" s="207" t="n">
        <f aca="false">+B178+E179</f>
        <v>46169.3358628241</v>
      </c>
      <c r="C179" s="323" t="n">
        <f aca="false">+$D$11-D179</f>
        <v>4524.96628910512</v>
      </c>
      <c r="D179" s="323" t="n">
        <f aca="false">+H178*$B$9/360*E179</f>
        <v>-2650.96512855221</v>
      </c>
      <c r="E179" s="208" t="n">
        <v>30</v>
      </c>
      <c r="F179" s="323" t="n">
        <f aca="false">+C179+D179</f>
        <v>1874.00116055291</v>
      </c>
      <c r="G179" s="324" t="n">
        <f aca="false">+F179+M179</f>
        <v>1595.14992577354</v>
      </c>
      <c r="H179" s="320" t="n">
        <f aca="false">+H178-C179</f>
        <v>-231750.548736438</v>
      </c>
      <c r="J179" s="325" t="n">
        <f aca="false">+H178*$J$18</f>
        <v>-268.126187287853</v>
      </c>
      <c r="K179" s="323" t="n">
        <f aca="false">+J179*$K$18</f>
        <v>-9.38441655507484</v>
      </c>
      <c r="L179" s="323" t="n">
        <f aca="false">+J179*$L$18</f>
        <v>-1.34063093643926</v>
      </c>
      <c r="M179" s="320" t="n">
        <f aca="false">+J179+K179+L179</f>
        <v>-278.851234779367</v>
      </c>
    </row>
    <row r="180" customFormat="false" ht="12.75" hidden="false" customHeight="false" outlineLevel="0" collapsed="false">
      <c r="A180" s="319" t="n">
        <v>162</v>
      </c>
      <c r="B180" s="207" t="n">
        <f aca="true">NOW()</f>
        <v>46079.3358628241</v>
      </c>
      <c r="C180" s="323" t="n">
        <f aca="false">+$D$11-D180</f>
        <v>4577.75756247802</v>
      </c>
      <c r="D180" s="323" t="n">
        <f aca="false">+H179*$B$9/360*E180</f>
        <v>-2703.75640192511</v>
      </c>
      <c r="E180" s="208" t="n">
        <v>30</v>
      </c>
      <c r="F180" s="323" t="n">
        <f aca="false">+C180+D180</f>
        <v>1874.00116055291</v>
      </c>
      <c r="G180" s="324" t="n">
        <f aca="false">+F180+M180</f>
        <v>1589.59688714355</v>
      </c>
      <c r="H180" s="320" t="n">
        <f aca="false">+H179-C180</f>
        <v>-236328.306298916</v>
      </c>
      <c r="J180" s="325" t="n">
        <f aca="false">+H179*$J$18</f>
        <v>-273.465647508997</v>
      </c>
      <c r="K180" s="323" t="n">
        <f aca="false">+J180*$K$18</f>
        <v>-9.57129766281488</v>
      </c>
      <c r="L180" s="323" t="n">
        <f aca="false">+J180*$L$18</f>
        <v>-1.36732823754498</v>
      </c>
      <c r="M180" s="320" t="n">
        <f aca="false">+J180+K180+L180</f>
        <v>-284.404273409356</v>
      </c>
    </row>
    <row r="181" customFormat="false" ht="12.75" hidden="false" customHeight="false" outlineLevel="0" collapsed="false">
      <c r="A181" s="319" t="n">
        <v>163</v>
      </c>
      <c r="B181" s="207" t="n">
        <f aca="false">+B180+E181</f>
        <v>46109.3358628241</v>
      </c>
      <c r="C181" s="323" t="n">
        <f aca="false">+$D$11-D181</f>
        <v>4631.16473404026</v>
      </c>
      <c r="D181" s="323" t="n">
        <f aca="false">+H180*$B$9/360*E181</f>
        <v>-2757.16357348735</v>
      </c>
      <c r="E181" s="208" t="n">
        <v>30</v>
      </c>
      <c r="F181" s="323" t="n">
        <f aca="false">+C181+D181</f>
        <v>1874.00116055291</v>
      </c>
      <c r="G181" s="324" t="n">
        <f aca="false">+F181+M181</f>
        <v>1583.97906306288</v>
      </c>
      <c r="H181" s="320" t="n">
        <f aca="false">+H180-C181</f>
        <v>-240959.471032956</v>
      </c>
      <c r="J181" s="325" t="n">
        <f aca="false">+H180*$J$18</f>
        <v>-278.867401432721</v>
      </c>
      <c r="K181" s="323" t="n">
        <f aca="false">+J181*$K$18</f>
        <v>-9.76035905014522</v>
      </c>
      <c r="L181" s="323" t="n">
        <f aca="false">+J181*$L$18</f>
        <v>-1.3943370071636</v>
      </c>
      <c r="M181" s="320" t="n">
        <f aca="false">+J181+K181+L181</f>
        <v>-290.022097490029</v>
      </c>
    </row>
    <row r="182" customFormat="false" ht="12.75" hidden="false" customHeight="false" outlineLevel="0" collapsed="false">
      <c r="A182" s="319" t="n">
        <v>164</v>
      </c>
      <c r="B182" s="207" t="n">
        <f aca="false">+B181+E182</f>
        <v>46139.3358628241</v>
      </c>
      <c r="C182" s="323" t="n">
        <f aca="false">+$D$11-D182</f>
        <v>4685.19498927073</v>
      </c>
      <c r="D182" s="323" t="n">
        <f aca="false">+H181*$B$9/360*E182</f>
        <v>-2811.19382871782</v>
      </c>
      <c r="E182" s="208" t="n">
        <v>30</v>
      </c>
      <c r="F182" s="323" t="n">
        <f aca="false">+C182+D182</f>
        <v>1874.00116055291</v>
      </c>
      <c r="G182" s="324" t="n">
        <f aca="false">+F182+M182</f>
        <v>1578.29569770127</v>
      </c>
      <c r="H182" s="320" t="n">
        <f aca="false">+H181-C182</f>
        <v>-245644.666022227</v>
      </c>
      <c r="J182" s="325" t="n">
        <f aca="false">+H181*$J$18</f>
        <v>-284.332175818888</v>
      </c>
      <c r="K182" s="323" t="n">
        <f aca="false">+J182*$K$18</f>
        <v>-9.95162615366109</v>
      </c>
      <c r="L182" s="323" t="n">
        <f aca="false">+J182*$L$18</f>
        <v>-1.42166087909444</v>
      </c>
      <c r="M182" s="320" t="n">
        <f aca="false">+J182+K182+L182</f>
        <v>-295.705462851644</v>
      </c>
    </row>
    <row r="183" customFormat="false" ht="12.75" hidden="false" customHeight="false" outlineLevel="0" collapsed="false">
      <c r="A183" s="319" t="n">
        <v>165</v>
      </c>
      <c r="B183" s="207" t="n">
        <f aca="false">+B182+E183</f>
        <v>46169.3358628241</v>
      </c>
      <c r="C183" s="323" t="n">
        <f aca="false">+$D$11-D183</f>
        <v>4739.85559747889</v>
      </c>
      <c r="D183" s="323" t="n">
        <f aca="false">+H182*$B$9/360*E183</f>
        <v>-2865.85443692598</v>
      </c>
      <c r="E183" s="208" t="n">
        <v>30</v>
      </c>
      <c r="F183" s="323" t="n">
        <f aca="false">+C183+D183</f>
        <v>1874.00116055291</v>
      </c>
      <c r="G183" s="324" t="n">
        <f aca="false">+F183+M183</f>
        <v>1572.54602641043</v>
      </c>
      <c r="H183" s="320" t="n">
        <f aca="false">+H182-C183</f>
        <v>-250384.521619706</v>
      </c>
      <c r="J183" s="325" t="n">
        <f aca="false">+H182*$J$18</f>
        <v>-289.860705906228</v>
      </c>
      <c r="K183" s="323" t="n">
        <f aca="false">+J183*$K$18</f>
        <v>-10.145124706718</v>
      </c>
      <c r="L183" s="323" t="n">
        <f aca="false">+J183*$L$18</f>
        <v>-1.44930352953114</v>
      </c>
      <c r="M183" s="320" t="n">
        <f aca="false">+J183+K183+L183</f>
        <v>-301.455134142477</v>
      </c>
    </row>
    <row r="184" customFormat="false" ht="12.75" hidden="false" customHeight="false" outlineLevel="0" collapsed="false">
      <c r="A184" s="319" t="n">
        <v>166</v>
      </c>
      <c r="B184" s="207" t="n">
        <f aca="true">NOW()</f>
        <v>46079.3358628241</v>
      </c>
      <c r="C184" s="323" t="n">
        <f aca="false">+$D$11-D184</f>
        <v>4795.15391278281</v>
      </c>
      <c r="D184" s="323" t="n">
        <f aca="false">+H183*$B$9/360*E184</f>
        <v>-2921.1527522299</v>
      </c>
      <c r="E184" s="208" t="n">
        <v>30</v>
      </c>
      <c r="F184" s="323" t="n">
        <f aca="false">+C184+D184</f>
        <v>1874.00116055291</v>
      </c>
      <c r="G184" s="324" t="n">
        <f aca="false">+F184+M184</f>
        <v>1566.72927562121</v>
      </c>
      <c r="H184" s="320" t="n">
        <f aca="false">+H183-C184</f>
        <v>-255179.675532489</v>
      </c>
      <c r="J184" s="325" t="n">
        <f aca="false">+H183*$J$18</f>
        <v>-295.453735511253</v>
      </c>
      <c r="K184" s="323" t="n">
        <f aca="false">+J184*$K$18</f>
        <v>-10.3408807428938</v>
      </c>
      <c r="L184" s="323" t="n">
        <f aca="false">+J184*$L$18</f>
        <v>-1.47726867755626</v>
      </c>
      <c r="M184" s="320" t="n">
        <f aca="false">+J184+K184+L184</f>
        <v>-307.271884931703</v>
      </c>
    </row>
    <row r="185" customFormat="false" ht="12.75" hidden="false" customHeight="false" outlineLevel="0" collapsed="false">
      <c r="A185" s="319" t="n">
        <v>167</v>
      </c>
      <c r="B185" s="207" t="n">
        <f aca="false">+B184+E185</f>
        <v>46109.3358628241</v>
      </c>
      <c r="C185" s="323" t="n">
        <f aca="false">+$D$11-D185</f>
        <v>4851.09737509861</v>
      </c>
      <c r="D185" s="323" t="n">
        <f aca="false">+H184*$B$9/360*E185</f>
        <v>-2977.0962145457</v>
      </c>
      <c r="E185" s="208" t="n">
        <v>30</v>
      </c>
      <c r="F185" s="323" t="n">
        <f aca="false">+C185+D185</f>
        <v>1874.00116055291</v>
      </c>
      <c r="G185" s="324" t="n">
        <f aca="false">+F185+M185</f>
        <v>1560.84466273944</v>
      </c>
      <c r="H185" s="320" t="n">
        <f aca="false">+H184-C185</f>
        <v>-260030.772907587</v>
      </c>
      <c r="J185" s="325" t="n">
        <f aca="false">+H184*$J$18</f>
        <v>-301.112017128336</v>
      </c>
      <c r="K185" s="323" t="n">
        <f aca="false">+J185*$K$18</f>
        <v>-10.5389205994918</v>
      </c>
      <c r="L185" s="323" t="n">
        <f aca="false">+J185*$L$18</f>
        <v>-1.50556008564168</v>
      </c>
      <c r="M185" s="320" t="n">
        <f aca="false">+J185+K185+L185</f>
        <v>-313.15649781347</v>
      </c>
    </row>
    <row r="186" customFormat="false" ht="12.75" hidden="false" customHeight="false" outlineLevel="0" collapsed="false">
      <c r="A186" s="319" t="n">
        <v>168</v>
      </c>
      <c r="B186" s="207" t="n">
        <f aca="false">+B185+E186</f>
        <v>46139.3358628241</v>
      </c>
      <c r="C186" s="323" t="n">
        <f aca="false">+$D$11-D186</f>
        <v>4907.69351114143</v>
      </c>
      <c r="D186" s="323" t="n">
        <f aca="false">+H185*$B$9/360*E186</f>
        <v>-3033.69235058852</v>
      </c>
      <c r="E186" s="208" t="n">
        <v>30</v>
      </c>
      <c r="F186" s="323" t="n">
        <f aca="false">+C186+D186</f>
        <v>1874.00116055291</v>
      </c>
      <c r="G186" s="324" t="n">
        <f aca="false">+F186+M186</f>
        <v>1554.89139604072</v>
      </c>
      <c r="H186" s="320" t="n">
        <f aca="false">+H185-C186</f>
        <v>-264938.466418729</v>
      </c>
      <c r="J186" s="325" t="n">
        <f aca="false">+H185*$J$18</f>
        <v>-306.836312030953</v>
      </c>
      <c r="K186" s="323" t="n">
        <f aca="false">+J186*$K$18</f>
        <v>-10.7392709210834</v>
      </c>
      <c r="L186" s="323" t="n">
        <f aca="false">+J186*$L$18</f>
        <v>-1.53418156015476</v>
      </c>
      <c r="M186" s="320" t="n">
        <f aca="false">+J186+K186+L186</f>
        <v>-319.109764512191</v>
      </c>
    </row>
    <row r="187" customFormat="false" ht="12.75" hidden="false" customHeight="false" outlineLevel="0" collapsed="false">
      <c r="A187" s="319" t="n">
        <v>169</v>
      </c>
      <c r="B187" s="207" t="n">
        <f aca="false">+B186+E187</f>
        <v>46169.3358628241</v>
      </c>
      <c r="C187" s="323" t="n">
        <f aca="false">+$D$11-D187</f>
        <v>4964.94993543808</v>
      </c>
      <c r="D187" s="323" t="n">
        <f aca="false">+H186*$B$9/360*E187</f>
        <v>-3090.94877488517</v>
      </c>
      <c r="E187" s="208" t="n">
        <v>30</v>
      </c>
      <c r="F187" s="323" t="n">
        <f aca="false">+C187+D187</f>
        <v>1874.00116055291</v>
      </c>
      <c r="G187" s="324" t="n">
        <f aca="false">+F187+M187</f>
        <v>1548.86867456385</v>
      </c>
      <c r="H187" s="320" t="n">
        <f aca="false">+H186-C187</f>
        <v>-269903.416354167</v>
      </c>
      <c r="J187" s="325" t="n">
        <f aca="false">+H186*$J$18</f>
        <v>-312.6273903741</v>
      </c>
      <c r="K187" s="323" t="n">
        <f aca="false">+J187*$K$18</f>
        <v>-10.9419586630935</v>
      </c>
      <c r="L187" s="323" t="n">
        <f aca="false">+J187*$L$18</f>
        <v>-1.5631369518705</v>
      </c>
      <c r="M187" s="320" t="n">
        <f aca="false">+J187+K187+L187</f>
        <v>-325.132485989064</v>
      </c>
    </row>
    <row r="188" customFormat="false" ht="12.75" hidden="false" customHeight="false" outlineLevel="0" collapsed="false">
      <c r="A188" s="319" t="n">
        <v>170</v>
      </c>
      <c r="B188" s="207" t="n">
        <f aca="true">NOW()</f>
        <v>46079.3358628241</v>
      </c>
      <c r="C188" s="323" t="n">
        <f aca="false">+$D$11-D188</f>
        <v>5022.87435135152</v>
      </c>
      <c r="D188" s="323" t="n">
        <f aca="false">+H187*$B$9/360*E188</f>
        <v>-3148.87319079861</v>
      </c>
      <c r="E188" s="208" t="n">
        <v>30</v>
      </c>
      <c r="F188" s="323" t="n">
        <f aca="false">+C188+D188</f>
        <v>1874.00116055291</v>
      </c>
      <c r="G188" s="324" t="n">
        <f aca="false">+F188+M188</f>
        <v>1542.77568800308</v>
      </c>
      <c r="H188" s="320" t="n">
        <f aca="false">+H187-C188</f>
        <v>-274926.290705518</v>
      </c>
      <c r="J188" s="325" t="n">
        <f aca="false">+H187*$J$18</f>
        <v>-318.486031297917</v>
      </c>
      <c r="K188" s="323" t="n">
        <f aca="false">+J188*$K$18</f>
        <v>-11.1470110954271</v>
      </c>
      <c r="L188" s="323" t="n">
        <f aca="false">+J188*$L$18</f>
        <v>-1.59243015648958</v>
      </c>
      <c r="M188" s="320" t="n">
        <f aca="false">+J188+K188+L188</f>
        <v>-331.225472549833</v>
      </c>
    </row>
    <row r="189" customFormat="false" ht="12.75" hidden="false" customHeight="false" outlineLevel="0" collapsed="false">
      <c r="A189" s="319" t="n">
        <v>171</v>
      </c>
      <c r="B189" s="207" t="n">
        <f aca="true">NOW()</f>
        <v>46079.3358628241</v>
      </c>
      <c r="C189" s="323" t="n">
        <f aca="false">+$D$11-D189</f>
        <v>5081.47455211729</v>
      </c>
      <c r="D189" s="323" t="n">
        <f aca="false">+H188*$B$9/360*E189</f>
        <v>-3207.47339156438</v>
      </c>
      <c r="E189" s="208" t="n">
        <v>30</v>
      </c>
      <c r="F189" s="323" t="n">
        <f aca="false">+C189+D189</f>
        <v>1874.00116055291</v>
      </c>
      <c r="G189" s="324" t="n">
        <f aca="false">+F189+M189</f>
        <v>1536.6116165991</v>
      </c>
      <c r="H189" s="320" t="n">
        <f aca="false">+H188-C189</f>
        <v>-280007.765257635</v>
      </c>
      <c r="J189" s="325" t="n">
        <f aca="false">+H188*$J$18</f>
        <v>-324.413023032511</v>
      </c>
      <c r="K189" s="323" t="n">
        <f aca="false">+J189*$K$18</f>
        <v>-11.3544558061379</v>
      </c>
      <c r="L189" s="323" t="n">
        <f aca="false">+J189*$L$18</f>
        <v>-1.62206511516256</v>
      </c>
      <c r="M189" s="320" t="n">
        <f aca="false">+J189+K189+L189</f>
        <v>-337.389543953812</v>
      </c>
    </row>
    <row r="190" customFormat="false" ht="12.75" hidden="false" customHeight="false" outlineLevel="0" collapsed="false">
      <c r="A190" s="319" t="n">
        <v>172</v>
      </c>
      <c r="B190" s="207" t="n">
        <f aca="true">NOW()</f>
        <v>46079.3358628241</v>
      </c>
      <c r="C190" s="323" t="n">
        <f aca="false">+$D$11-D190</f>
        <v>5140.75842189199</v>
      </c>
      <c r="D190" s="323" t="n">
        <f aca="false">+H189*$B$9/360*E190</f>
        <v>-3266.75726133908</v>
      </c>
      <c r="E190" s="208" t="n">
        <v>30</v>
      </c>
      <c r="F190" s="323" t="n">
        <f aca="false">+C190+D190</f>
        <v>1874.00116055291</v>
      </c>
      <c r="G190" s="324" t="n">
        <f aca="false">+F190+M190</f>
        <v>1530.37563102874</v>
      </c>
      <c r="H190" s="320" t="n">
        <f aca="false">+H189-C190</f>
        <v>-285148.523679527</v>
      </c>
      <c r="J190" s="325" t="n">
        <f aca="false">+H189*$J$18</f>
        <v>-330.40916300401</v>
      </c>
      <c r="K190" s="323" t="n">
        <f aca="false">+J190*$K$18</f>
        <v>-11.5643207051403</v>
      </c>
      <c r="L190" s="323" t="n">
        <f aca="false">+J190*$L$18</f>
        <v>-1.65204581502005</v>
      </c>
      <c r="M190" s="320" t="n">
        <f aca="false">+J190+K190+L190</f>
        <v>-343.62552952417</v>
      </c>
    </row>
    <row r="191" customFormat="false" ht="12.75" hidden="false" customHeight="false" outlineLevel="0" collapsed="false">
      <c r="A191" s="319" t="n">
        <v>173</v>
      </c>
      <c r="B191" s="207" t="n">
        <f aca="true">NOW()</f>
        <v>46079.3358628241</v>
      </c>
      <c r="C191" s="323" t="n">
        <f aca="false">+$D$11-D191</f>
        <v>5200.73393681406</v>
      </c>
      <c r="D191" s="323" t="n">
        <f aca="false">+H190*$B$9/360*E191</f>
        <v>-3326.73277626115</v>
      </c>
      <c r="E191" s="208" t="n">
        <v>30</v>
      </c>
      <c r="F191" s="323" t="n">
        <f aca="false">+C191+D191</f>
        <v>1874.00116055291</v>
      </c>
      <c r="G191" s="324" t="n">
        <f aca="false">+F191+M191</f>
        <v>1524.06689229339</v>
      </c>
      <c r="H191" s="320" t="n">
        <f aca="false">+H190-C191</f>
        <v>-290349.257616341</v>
      </c>
      <c r="J191" s="325" t="n">
        <f aca="false">+H190*$J$18</f>
        <v>-336.475257941842</v>
      </c>
      <c r="K191" s="323" t="n">
        <f aca="false">+J191*$K$18</f>
        <v>-11.7766340279645</v>
      </c>
      <c r="L191" s="323" t="n">
        <f aca="false">+J191*$L$18</f>
        <v>-1.68237628970921</v>
      </c>
      <c r="M191" s="320" t="n">
        <f aca="false">+J191+K191+L191</f>
        <v>-349.934268259516</v>
      </c>
    </row>
    <row r="192" customFormat="false" ht="12.75" hidden="false" customHeight="false" outlineLevel="0" collapsed="false">
      <c r="A192" s="319" t="n">
        <v>174</v>
      </c>
      <c r="B192" s="207" t="n">
        <f aca="true">NOW()</f>
        <v>46079.3358628241</v>
      </c>
      <c r="C192" s="323" t="n">
        <f aca="false">+$D$11-D192</f>
        <v>5261.40916607689</v>
      </c>
      <c r="D192" s="323" t="n">
        <f aca="false">+H191*$B$9/360*E192</f>
        <v>-3387.40800552398</v>
      </c>
      <c r="E192" s="208" t="n">
        <v>30</v>
      </c>
      <c r="F192" s="323" t="n">
        <f aca="false">+C192+D192</f>
        <v>1874.00116055291</v>
      </c>
      <c r="G192" s="324" t="n">
        <f aca="false">+F192+M192</f>
        <v>1517.68455160613</v>
      </c>
      <c r="H192" s="320" t="n">
        <f aca="false">+H191-C192</f>
        <v>-295610.666782418</v>
      </c>
      <c r="J192" s="325" t="n">
        <f aca="false">+H191*$J$18</f>
        <v>-342.612123987283</v>
      </c>
      <c r="K192" s="323" t="n">
        <f aca="false">+J192*$K$18</f>
        <v>-11.9914243395549</v>
      </c>
      <c r="L192" s="323" t="n">
        <f aca="false">+J192*$L$18</f>
        <v>-1.71306061993641</v>
      </c>
      <c r="M192" s="320" t="n">
        <f aca="false">+J192+K192+L192</f>
        <v>-356.316608946774</v>
      </c>
    </row>
    <row r="193" customFormat="false" ht="12.75" hidden="false" customHeight="false" outlineLevel="0" collapsed="false">
      <c r="A193" s="319" t="n">
        <v>175</v>
      </c>
      <c r="B193" s="207" t="n">
        <f aca="true">NOW()</f>
        <v>46079.3358628241</v>
      </c>
      <c r="C193" s="323" t="n">
        <f aca="false">+$D$11-D193</f>
        <v>5322.79227301446</v>
      </c>
      <c r="D193" s="323" t="n">
        <f aca="false">+H192*$B$9/360*E193</f>
        <v>-3448.79111246155</v>
      </c>
      <c r="E193" s="208" t="n">
        <v>30</v>
      </c>
      <c r="F193" s="323" t="n">
        <f aca="false">+C193+D193</f>
        <v>1874.00116055291</v>
      </c>
      <c r="G193" s="324" t="n">
        <f aca="false">+F193+M193</f>
        <v>1511.22775027752</v>
      </c>
      <c r="H193" s="320" t="n">
        <f aca="false">+H192-C193</f>
        <v>-300933.459055433</v>
      </c>
      <c r="J193" s="325" t="n">
        <f aca="false">+H192*$J$18</f>
        <v>-348.820586803254</v>
      </c>
      <c r="K193" s="323" t="n">
        <f aca="false">+J193*$K$18</f>
        <v>-12.2087205381139</v>
      </c>
      <c r="L193" s="323" t="n">
        <f aca="false">+J193*$L$18</f>
        <v>-1.74410293401627</v>
      </c>
      <c r="M193" s="320" t="n">
        <f aca="false">+J193+K193+L193</f>
        <v>-362.773410275384</v>
      </c>
    </row>
    <row r="194" customFormat="false" ht="12.75" hidden="false" customHeight="false" outlineLevel="0" collapsed="false">
      <c r="A194" s="319" t="n">
        <v>176</v>
      </c>
      <c r="B194" s="207" t="n">
        <f aca="true">NOW()</f>
        <v>46079.3358628241</v>
      </c>
      <c r="C194" s="323" t="n">
        <f aca="false">+$D$11-D194</f>
        <v>5384.89151619963</v>
      </c>
      <c r="D194" s="323" t="n">
        <f aca="false">+H193*$B$9/360*E194</f>
        <v>-3510.89035564672</v>
      </c>
      <c r="E194" s="208" t="n">
        <v>30</v>
      </c>
      <c r="F194" s="323" t="n">
        <f aca="false">+C194+D194</f>
        <v>1874.00116055291</v>
      </c>
      <c r="G194" s="324" t="n">
        <f aca="false">+F194+M194</f>
        <v>1504.69561960008</v>
      </c>
      <c r="H194" s="320" t="n">
        <f aca="false">+H193-C194</f>
        <v>-306318.350571632</v>
      </c>
      <c r="J194" s="325" t="n">
        <f aca="false">+H193*$J$18</f>
        <v>-355.101481685411</v>
      </c>
      <c r="K194" s="323" t="n">
        <f aca="false">+J194*$K$18</f>
        <v>-12.4285518589894</v>
      </c>
      <c r="L194" s="323" t="n">
        <f aca="false">+J194*$L$18</f>
        <v>-1.77550740842705</v>
      </c>
      <c r="M194" s="320" t="n">
        <f aca="false">+J194+K194+L194</f>
        <v>-369.305540952827</v>
      </c>
    </row>
    <row r="195" customFormat="false" ht="12.75" hidden="false" customHeight="false" outlineLevel="0" collapsed="false">
      <c r="A195" s="319" t="n">
        <v>177</v>
      </c>
      <c r="B195" s="207" t="n">
        <f aca="true">NOW()</f>
        <v>46079.3358628241</v>
      </c>
      <c r="C195" s="323" t="n">
        <f aca="false">+$D$11-D195</f>
        <v>5447.71525055529</v>
      </c>
      <c r="D195" s="323" t="n">
        <f aca="false">+H194*$B$9/360*E195</f>
        <v>-3573.71409000238</v>
      </c>
      <c r="E195" s="208" t="n">
        <v>30</v>
      </c>
      <c r="F195" s="323" t="n">
        <f aca="false">+C195+D195</f>
        <v>1874.00116055291</v>
      </c>
      <c r="G195" s="324" t="n">
        <f aca="false">+F195+M195</f>
        <v>1498.0872807314</v>
      </c>
      <c r="H195" s="320" t="n">
        <f aca="false">+H194-C195</f>
        <v>-311766.065822188</v>
      </c>
      <c r="J195" s="325" t="n">
        <f aca="false">+H194*$J$18</f>
        <v>-361.455653674526</v>
      </c>
      <c r="K195" s="323" t="n">
        <f aca="false">+J195*$K$18</f>
        <v>-12.6509478786084</v>
      </c>
      <c r="L195" s="323" t="n">
        <f aca="false">+J195*$L$18</f>
        <v>-1.80727826837263</v>
      </c>
      <c r="M195" s="320" t="n">
        <f aca="false">+J195+K195+L195</f>
        <v>-375.913879821507</v>
      </c>
    </row>
    <row r="196" customFormat="false" ht="12.75" hidden="false" customHeight="false" outlineLevel="0" collapsed="false">
      <c r="A196" s="319" t="n">
        <v>178</v>
      </c>
      <c r="B196" s="207" t="n">
        <f aca="true">NOW()</f>
        <v>46079.3358628241</v>
      </c>
      <c r="C196" s="323" t="n">
        <f aca="false">+$D$11-D196</f>
        <v>5511.27192847843</v>
      </c>
      <c r="D196" s="323" t="n">
        <f aca="false">+H195*$B$9/360*E196</f>
        <v>-3637.27076792552</v>
      </c>
      <c r="E196" s="208" t="n">
        <v>30</v>
      </c>
      <c r="F196" s="323" t="n">
        <f aca="false">+C196+D196</f>
        <v>1874.00116055291</v>
      </c>
      <c r="G196" s="324" t="n">
        <f aca="false">+F196+M196</f>
        <v>1491.40184457592</v>
      </c>
      <c r="H196" s="320" t="n">
        <f aca="false">+H195-C196</f>
        <v>-317277.337750666</v>
      </c>
      <c r="J196" s="325" t="n">
        <f aca="false">+H195*$J$18</f>
        <v>-367.883957670182</v>
      </c>
      <c r="K196" s="323" t="n">
        <f aca="false">+J196*$K$18</f>
        <v>-12.8759385184564</v>
      </c>
      <c r="L196" s="323" t="n">
        <f aca="false">+J196*$L$18</f>
        <v>-1.83941978835091</v>
      </c>
      <c r="M196" s="320" t="n">
        <f aca="false">+J196+K196+L196</f>
        <v>-382.599315976989</v>
      </c>
    </row>
    <row r="197" customFormat="false" ht="12.75" hidden="false" customHeight="false" outlineLevel="0" collapsed="false">
      <c r="A197" s="319" t="n">
        <v>179</v>
      </c>
      <c r="B197" s="207" t="n">
        <f aca="true">NOW()</f>
        <v>46079.3358628241</v>
      </c>
      <c r="C197" s="323" t="n">
        <f aca="false">+$D$11-D197</f>
        <v>5575.57010097735</v>
      </c>
      <c r="D197" s="323" t="n">
        <f aca="false">+H196*$B$9/360*E197</f>
        <v>-3701.56894042444</v>
      </c>
      <c r="E197" s="208" t="n">
        <v>30</v>
      </c>
      <c r="F197" s="323" t="n">
        <f aca="false">+C197+D197</f>
        <v>1874.00116055291</v>
      </c>
      <c r="G197" s="324" t="n">
        <f aca="false">+F197+M197</f>
        <v>1484.63841166529</v>
      </c>
      <c r="H197" s="320" t="n">
        <f aca="false">+H196-C197</f>
        <v>-322852.907851644</v>
      </c>
      <c r="J197" s="325" t="n">
        <f aca="false">+H196*$J$18</f>
        <v>-374.387258545786</v>
      </c>
      <c r="K197" s="323" t="n">
        <f aca="false">+J197*$K$18</f>
        <v>-13.1035540491025</v>
      </c>
      <c r="L197" s="323" t="n">
        <f aca="false">+J197*$L$18</f>
        <v>-1.87193629272893</v>
      </c>
      <c r="M197" s="320" t="n">
        <f aca="false">+J197+K197+L197</f>
        <v>-389.362748887618</v>
      </c>
    </row>
    <row r="198" customFormat="false" ht="12.75" hidden="false" customHeight="false" outlineLevel="0" collapsed="false">
      <c r="A198" s="326" t="n">
        <v>180</v>
      </c>
      <c r="B198" s="327" t="n">
        <f aca="true">NOW()</f>
        <v>46079.3358628241</v>
      </c>
      <c r="C198" s="328" t="n">
        <f aca="false">+$D$11-D198</f>
        <v>5640.61841882208</v>
      </c>
      <c r="D198" s="328" t="n">
        <f aca="false">+H197*$B$9/360*E198</f>
        <v>-3766.61725826918</v>
      </c>
      <c r="E198" s="329" t="n">
        <v>30</v>
      </c>
      <c r="F198" s="328" t="n">
        <f aca="false">+C198+D198</f>
        <v>1874.00116055291</v>
      </c>
      <c r="G198" s="324" t="n">
        <f aca="false">+F198+M198</f>
        <v>1477.79607203737</v>
      </c>
      <c r="H198" s="330" t="n">
        <f aca="false">+H197-C198</f>
        <v>-328493.526270466</v>
      </c>
      <c r="J198" s="331" t="n">
        <f aca="false">+H197*$J$18</f>
        <v>-380.966431264939</v>
      </c>
      <c r="K198" s="328" t="n">
        <f aca="false">+J198*$K$18</f>
        <v>-13.3338250942729</v>
      </c>
      <c r="L198" s="328" t="n">
        <f aca="false">+J198*$L$18</f>
        <v>-1.9048321563247</v>
      </c>
      <c r="M198" s="330" t="n">
        <f aca="false">+J198+K198+L198</f>
        <v>-396.205088515537</v>
      </c>
    </row>
    <row r="200" customFormat="false" ht="12.75" hidden="false" customHeight="false" outlineLevel="0" collapsed="false">
      <c r="C200" s="205" t="n">
        <f aca="false">+SUBTOTAL(9,C19:C198)</f>
        <v>428493.526270465</v>
      </c>
      <c r="D200" s="205" t="n">
        <f aca="false">+SUBTOTAL(9,D19:D198)</f>
        <v>-91173.3173709419</v>
      </c>
      <c r="F200" s="205" t="n">
        <f aca="false">+SUBTOTAL(9,F19:F198)</f>
        <v>337320.208899524</v>
      </c>
      <c r="J200" s="205" t="n">
        <f aca="false">+SUBTOTAL(9,J19:J198)</f>
        <v>-9221.52981408955</v>
      </c>
      <c r="K200" s="205" t="n">
        <f aca="false">+SUBTOTAL(9,K19:K198)</f>
        <v>-322.753543493134</v>
      </c>
      <c r="L200" s="205" t="n">
        <f aca="false">+SUBTOTAL(9,L19:L198)</f>
        <v>-46.1076490704478</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6:M200"/>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I13" activeCellId="0" sqref="I13"/>
    </sheetView>
  </sheetViews>
  <sheetFormatPr defaultColWidth="10.859375" defaultRowHeight="12.75" zeroHeight="false" outlineLevelRow="0" outlineLevelCol="0"/>
  <cols>
    <col collapsed="false" customWidth="true" hidden="false" outlineLevel="0" max="1" min="1" style="205" width="18.57"/>
    <col collapsed="false" customWidth="true" hidden="false" outlineLevel="0" max="2" min="2" style="205" width="11.43"/>
    <col collapsed="false" customWidth="true" hidden="false" outlineLevel="0" max="3" min="3" style="205" width="20.85"/>
    <col collapsed="false" customWidth="true" hidden="false" outlineLevel="0" max="4" min="4" style="205" width="12.57"/>
    <col collapsed="false" customWidth="true" hidden="false" outlineLevel="0" max="6" min="5" style="205" width="11.43"/>
    <col collapsed="false" customWidth="true" hidden="false" outlineLevel="0" max="7" min="7" style="205" width="18"/>
    <col collapsed="false" customWidth="true" hidden="false" outlineLevel="0" max="8" min="8" style="205" width="12.57"/>
    <col collapsed="false" customWidth="true" hidden="false" outlineLevel="0" max="9" min="9" style="205" width="10.29"/>
    <col collapsed="false" customWidth="true" hidden="true" outlineLevel="0" max="10" min="10" style="205" width="9.71"/>
    <col collapsed="false" customWidth="true" hidden="true" outlineLevel="0" max="11" min="11" style="205" width="11.71"/>
    <col collapsed="false" customWidth="true" hidden="true" outlineLevel="0" max="12" min="12" style="205" width="14.86"/>
    <col collapsed="false" customWidth="true" hidden="true" outlineLevel="0" max="13" min="13" style="205" width="11.85"/>
    <col collapsed="false" customWidth="true" hidden="false" outlineLevel="0" max="14" min="14" style="205" width="11.29"/>
  </cols>
  <sheetData>
    <row r="6" customFormat="false" ht="13.8" hidden="false" customHeight="false" outlineLevel="0" collapsed="false">
      <c r="A6" s="290" t="s">
        <v>732</v>
      </c>
      <c r="B6" s="290"/>
      <c r="C6" s="290"/>
      <c r="D6" s="290"/>
      <c r="E6" s="290"/>
      <c r="F6" s="290"/>
      <c r="G6" s="290"/>
      <c r="H6" s="290"/>
    </row>
    <row r="8" customFormat="false" ht="13.8" hidden="false" customHeight="false" outlineLevel="0" collapsed="false">
      <c r="A8" s="291" t="s">
        <v>733</v>
      </c>
      <c r="B8" s="292" t="n">
        <v>10000</v>
      </c>
      <c r="C8" s="293"/>
      <c r="D8" s="294"/>
    </row>
    <row r="9" customFormat="false" ht="13.8" hidden="false" customHeight="false" outlineLevel="0" collapsed="false">
      <c r="A9" s="295" t="s">
        <v>734</v>
      </c>
      <c r="B9" s="296" t="n">
        <v>0.14</v>
      </c>
      <c r="C9" s="297"/>
      <c r="D9" s="298"/>
    </row>
    <row r="10" customFormat="false" ht="13.8" hidden="false" customHeight="false" outlineLevel="0" collapsed="false">
      <c r="A10" s="295" t="s">
        <v>735</v>
      </c>
      <c r="B10" s="299" t="n">
        <v>84</v>
      </c>
      <c r="C10" s="300"/>
      <c r="D10" s="301"/>
    </row>
    <row r="11" customFormat="false" ht="13.8" hidden="false" customHeight="false" outlineLevel="0" collapsed="false">
      <c r="A11" s="295" t="s">
        <v>736</v>
      </c>
      <c r="B11" s="206" t="n">
        <v>12</v>
      </c>
      <c r="C11" s="302" t="s">
        <v>737</v>
      </c>
      <c r="D11" s="303" t="n">
        <f aca="false">+B8/((1-(1+B13)^-B10)/B13)</f>
        <v>187.400116055291</v>
      </c>
    </row>
    <row r="12" customFormat="false" ht="13.8" hidden="false" customHeight="false" outlineLevel="0" collapsed="false">
      <c r="A12" s="295" t="s">
        <v>738</v>
      </c>
      <c r="B12" s="206" t="n">
        <v>30</v>
      </c>
      <c r="C12" s="304"/>
      <c r="D12" s="305"/>
    </row>
    <row r="13" customFormat="false" ht="13.8" hidden="false" customHeight="false" outlineLevel="0" collapsed="false">
      <c r="A13" s="295" t="s">
        <v>739</v>
      </c>
      <c r="B13" s="306" t="n">
        <f aca="false">+B9/B11</f>
        <v>0.0116666666666667</v>
      </c>
      <c r="C13" s="302" t="s">
        <v>740</v>
      </c>
      <c r="D13" s="303" t="n">
        <f aca="false">SUMIF(M19:M198,"&gt;0",M19:M198)</f>
        <v>388.985858171024</v>
      </c>
    </row>
    <row r="14" customFormat="false" ht="13.8" hidden="false" customHeight="false" outlineLevel="0" collapsed="false">
      <c r="A14" s="307" t="s">
        <v>741</v>
      </c>
      <c r="B14" s="308" t="n">
        <f aca="false">+B9/360</f>
        <v>0.000388888888888889</v>
      </c>
      <c r="C14" s="309"/>
      <c r="D14" s="310"/>
    </row>
    <row r="15" customFormat="false" ht="13.8" hidden="false" customHeight="false" outlineLevel="0" collapsed="false">
      <c r="A15" s="302" t="s">
        <v>742</v>
      </c>
      <c r="B15" s="311" t="n">
        <v>0.0076</v>
      </c>
    </row>
    <row r="17" customFormat="false" ht="13.8" hidden="false" customHeight="false" outlineLevel="0" collapsed="false">
      <c r="A17" s="312" t="s">
        <v>743</v>
      </c>
      <c r="B17" s="312" t="s">
        <v>459</v>
      </c>
      <c r="C17" s="313" t="s">
        <v>733</v>
      </c>
      <c r="D17" s="313" t="s">
        <v>734</v>
      </c>
      <c r="E17" s="313" t="s">
        <v>744</v>
      </c>
      <c r="F17" s="313" t="s">
        <v>737</v>
      </c>
      <c r="G17" s="314" t="s">
        <v>746</v>
      </c>
      <c r="H17" s="315" t="s">
        <v>747</v>
      </c>
      <c r="J17" s="316" t="s">
        <v>748</v>
      </c>
      <c r="K17" s="317" t="s">
        <v>749</v>
      </c>
      <c r="L17" s="317" t="s">
        <v>750</v>
      </c>
      <c r="M17" s="318" t="s">
        <v>751</v>
      </c>
    </row>
    <row r="18" customFormat="false" ht="12.75" hidden="false" customHeight="false" outlineLevel="0" collapsed="false">
      <c r="A18" s="319"/>
      <c r="B18" s="207" t="n">
        <f aca="true">NOW()</f>
        <v>46079.3358629398</v>
      </c>
      <c r="C18" s="208"/>
      <c r="D18" s="208"/>
      <c r="E18" s="208"/>
      <c r="F18" s="208"/>
      <c r="G18" s="304"/>
      <c r="H18" s="320" t="n">
        <f aca="false">+B8</f>
        <v>10000</v>
      </c>
      <c r="J18" s="321" t="n">
        <v>0.00076</v>
      </c>
      <c r="K18" s="208" t="n">
        <v>0.035</v>
      </c>
      <c r="L18" s="208" t="n">
        <v>0.005</v>
      </c>
      <c r="M18" s="322" t="n">
        <f aca="false">+J18+K18+L18</f>
        <v>0.04076</v>
      </c>
    </row>
    <row r="19" customFormat="false" ht="12.75" hidden="false" customHeight="false" outlineLevel="0" collapsed="false">
      <c r="A19" s="319" t="n">
        <v>1</v>
      </c>
      <c r="B19" s="207" t="n">
        <f aca="false">+B18+E19</f>
        <v>46109.3358629398</v>
      </c>
      <c r="C19" s="323" t="n">
        <f aca="false">+$D$11-D19</f>
        <v>70.7334493886242</v>
      </c>
      <c r="D19" s="323" t="n">
        <f aca="false">+H18*$B$9/360*E19</f>
        <v>116.666666666667</v>
      </c>
      <c r="E19" s="208" t="n">
        <v>30</v>
      </c>
      <c r="F19" s="323" t="n">
        <f aca="false">+C19+D19</f>
        <v>187.400116055291</v>
      </c>
      <c r="G19" s="324" t="n">
        <f aca="false">+F19+M19</f>
        <v>195.304116055291</v>
      </c>
      <c r="H19" s="320" t="n">
        <f aca="false">+H18-C19</f>
        <v>9929.26655061138</v>
      </c>
      <c r="J19" s="325" t="n">
        <f aca="false">+H18*$J$18</f>
        <v>7.6</v>
      </c>
      <c r="K19" s="323" t="n">
        <f aca="false">+J19*$K$18</f>
        <v>0.266</v>
      </c>
      <c r="L19" s="323" t="n">
        <f aca="false">+J19*$L$18</f>
        <v>0.038</v>
      </c>
      <c r="M19" s="320" t="n">
        <f aca="false">+J19+K19+L19</f>
        <v>7.904</v>
      </c>
    </row>
    <row r="20" customFormat="false" ht="12.75" hidden="false" customHeight="false" outlineLevel="0" collapsed="false">
      <c r="A20" s="319" t="n">
        <v>2</v>
      </c>
      <c r="B20" s="207" t="n">
        <f aca="false">+B19+E20</f>
        <v>46139.3358629398</v>
      </c>
      <c r="C20" s="323" t="n">
        <f aca="false">+$D$11-D20</f>
        <v>71.5586729648248</v>
      </c>
      <c r="D20" s="323" t="n">
        <f aca="false">+H19*$B$9/360*E20</f>
        <v>115.841443090466</v>
      </c>
      <c r="E20" s="208" t="n">
        <v>30</v>
      </c>
      <c r="F20" s="323" t="n">
        <f aca="false">+C20+D20</f>
        <v>187.400116055291</v>
      </c>
      <c r="G20" s="324" t="n">
        <f aca="false">+F20+M20</f>
        <v>195.248208336894</v>
      </c>
      <c r="H20" s="320" t="n">
        <f aca="false">+H19-C20</f>
        <v>9857.70787764655</v>
      </c>
      <c r="J20" s="325" t="n">
        <f aca="false">+H19*$J$18</f>
        <v>7.54624257846465</v>
      </c>
      <c r="K20" s="323" t="n">
        <f aca="false">+J20*$K$18</f>
        <v>0.264118490246263</v>
      </c>
      <c r="L20" s="323" t="n">
        <f aca="false">+J20*$L$18</f>
        <v>0.0377312128923232</v>
      </c>
      <c r="M20" s="320" t="n">
        <f aca="false">+J20+K20+L20</f>
        <v>7.84809228160323</v>
      </c>
    </row>
    <row r="21" customFormat="false" ht="12.75" hidden="false" customHeight="false" outlineLevel="0" collapsed="false">
      <c r="A21" s="319" t="n">
        <v>3</v>
      </c>
      <c r="B21" s="207" t="n">
        <f aca="false">+B20+E21</f>
        <v>46169.3358629398</v>
      </c>
      <c r="C21" s="323" t="n">
        <f aca="false">+$D$11-D21</f>
        <v>72.3935241494144</v>
      </c>
      <c r="D21" s="323" t="n">
        <f aca="false">+H20*$B$9/360*E21</f>
        <v>115.006591905876</v>
      </c>
      <c r="E21" s="208" t="n">
        <v>30</v>
      </c>
      <c r="F21" s="323" t="n">
        <f aca="false">+C21+D21</f>
        <v>187.400116055291</v>
      </c>
      <c r="G21" s="324" t="n">
        <f aca="false">+F21+M21</f>
        <v>195.191648361783</v>
      </c>
      <c r="H21" s="320" t="n">
        <f aca="false">+H20-C21</f>
        <v>9785.31435349714</v>
      </c>
      <c r="J21" s="325" t="n">
        <f aca="false">+H20*$J$18</f>
        <v>7.49185798701138</v>
      </c>
      <c r="K21" s="323" t="n">
        <f aca="false">+J21*$K$18</f>
        <v>0.262215029545398</v>
      </c>
      <c r="L21" s="323" t="n">
        <f aca="false">+J21*$L$18</f>
        <v>0.0374592899350569</v>
      </c>
      <c r="M21" s="320" t="n">
        <f aca="false">+J21+K21+L21</f>
        <v>7.79153230649184</v>
      </c>
    </row>
    <row r="22" customFormat="false" ht="12.75" hidden="false" customHeight="false" outlineLevel="0" collapsed="false">
      <c r="A22" s="319" t="n">
        <v>4</v>
      </c>
      <c r="B22" s="207" t="n">
        <f aca="true">NOW()</f>
        <v>46079.3358629398</v>
      </c>
      <c r="C22" s="323" t="n">
        <f aca="false">+$D$11-D22</f>
        <v>73.2381152644909</v>
      </c>
      <c r="D22" s="323" t="n">
        <f aca="false">+H21*$B$9/360*E22</f>
        <v>114.1620007908</v>
      </c>
      <c r="E22" s="208" t="n">
        <v>30</v>
      </c>
      <c r="F22" s="323" t="n">
        <f aca="false">+C22+D22</f>
        <v>187.400116055291</v>
      </c>
      <c r="G22" s="324" t="n">
        <f aca="false">+F22+M22</f>
        <v>195.134428520295</v>
      </c>
      <c r="H22" s="320" t="n">
        <f aca="false">+H21-C22</f>
        <v>9712.07623823265</v>
      </c>
      <c r="J22" s="325" t="n">
        <f aca="false">+H21*$J$18</f>
        <v>7.43683890865782</v>
      </c>
      <c r="K22" s="323" t="n">
        <f aca="false">+J22*$K$18</f>
        <v>0.260289361803024</v>
      </c>
      <c r="L22" s="323" t="n">
        <f aca="false">+J22*$L$18</f>
        <v>0.0371841945432891</v>
      </c>
      <c r="M22" s="320" t="n">
        <f aca="false">+J22+K22+L22</f>
        <v>7.73431246500414</v>
      </c>
    </row>
    <row r="23" customFormat="false" ht="12.75" hidden="false" customHeight="false" outlineLevel="0" collapsed="false">
      <c r="A23" s="319" t="n">
        <v>5</v>
      </c>
      <c r="B23" s="207" t="n">
        <f aca="false">+B22+E23</f>
        <v>46109.3358629398</v>
      </c>
      <c r="C23" s="323" t="n">
        <f aca="false">+$D$11-D23</f>
        <v>74.0925599425767</v>
      </c>
      <c r="D23" s="323" t="n">
        <f aca="false">+H22*$B$9/360*E23</f>
        <v>113.307556112714</v>
      </c>
      <c r="E23" s="208" t="n">
        <v>30</v>
      </c>
      <c r="F23" s="323" t="n">
        <f aca="false">+C23+D23</f>
        <v>187.400116055291</v>
      </c>
      <c r="G23" s="324" t="n">
        <f aca="false">+F23+M23</f>
        <v>195.07654111399</v>
      </c>
      <c r="H23" s="320" t="n">
        <f aca="false">+H22-C23</f>
        <v>9637.98367829007</v>
      </c>
      <c r="J23" s="325" t="n">
        <f aca="false">+H22*$J$18</f>
        <v>7.38117794105681</v>
      </c>
      <c r="K23" s="323" t="n">
        <f aca="false">+J23*$K$18</f>
        <v>0.258341227936988</v>
      </c>
      <c r="L23" s="323" t="n">
        <f aca="false">+J23*$L$18</f>
        <v>0.0369058897052841</v>
      </c>
      <c r="M23" s="320" t="n">
        <f aca="false">+J23+K23+L23</f>
        <v>7.67642505869908</v>
      </c>
    </row>
    <row r="24" customFormat="false" ht="12.75" hidden="false" customHeight="false" outlineLevel="0" collapsed="false">
      <c r="A24" s="319" t="n">
        <v>6</v>
      </c>
      <c r="B24" s="207" t="n">
        <f aca="false">+B23+E24</f>
        <v>46139.3358629398</v>
      </c>
      <c r="C24" s="323" t="n">
        <f aca="false">+$D$11-D24</f>
        <v>74.9569731419067</v>
      </c>
      <c r="D24" s="323" t="n">
        <f aca="false">+H23*$B$9/360*E24</f>
        <v>112.443142913384</v>
      </c>
      <c r="E24" s="208" t="n">
        <v>30</v>
      </c>
      <c r="F24" s="323" t="n">
        <f aca="false">+C24+D24</f>
        <v>187.400116055291</v>
      </c>
      <c r="G24" s="324" t="n">
        <f aca="false">+F24+M24</f>
        <v>195.017978354611</v>
      </c>
      <c r="H24" s="320" t="n">
        <f aca="false">+H23-C24</f>
        <v>9563.02670514816</v>
      </c>
      <c r="J24" s="325" t="n">
        <f aca="false">+H23*$J$18</f>
        <v>7.32486759550045</v>
      </c>
      <c r="K24" s="323" t="n">
        <f aca="false">+J24*$K$18</f>
        <v>0.256370365842516</v>
      </c>
      <c r="L24" s="323" t="n">
        <f aca="false">+J24*$L$18</f>
        <v>0.0366243379775023</v>
      </c>
      <c r="M24" s="320" t="n">
        <f aca="false">+J24+K24+L24</f>
        <v>7.61786229932047</v>
      </c>
    </row>
    <row r="25" customFormat="false" ht="12.75" hidden="false" customHeight="false" outlineLevel="0" collapsed="false">
      <c r="A25" s="319" t="n">
        <v>7</v>
      </c>
      <c r="B25" s="207" t="n">
        <f aca="false">+B24+E25</f>
        <v>46169.3358629398</v>
      </c>
      <c r="C25" s="323" t="n">
        <f aca="false">+$D$11-D25</f>
        <v>75.8314711618957</v>
      </c>
      <c r="D25" s="323" t="n">
        <f aca="false">+H24*$B$9/360*E25</f>
        <v>111.568644893395</v>
      </c>
      <c r="E25" s="208" t="n">
        <v>30</v>
      </c>
      <c r="F25" s="323" t="n">
        <f aca="false">+C25+D25</f>
        <v>187.400116055291</v>
      </c>
      <c r="G25" s="324" t="n">
        <f aca="false">+F25+M25</f>
        <v>194.95873236304</v>
      </c>
      <c r="H25" s="320" t="n">
        <f aca="false">+H24-C25</f>
        <v>9487.19523398627</v>
      </c>
      <c r="J25" s="325" t="n">
        <f aca="false">+H24*$J$18</f>
        <v>7.2679002959126</v>
      </c>
      <c r="K25" s="323" t="n">
        <f aca="false">+J25*$K$18</f>
        <v>0.254376510356941</v>
      </c>
      <c r="L25" s="323" t="n">
        <f aca="false">+J25*$L$18</f>
        <v>0.036339501479563</v>
      </c>
      <c r="M25" s="320" t="n">
        <f aca="false">+J25+K25+L25</f>
        <v>7.55861630774911</v>
      </c>
    </row>
    <row r="26" customFormat="false" ht="12.75" hidden="false" customHeight="false" outlineLevel="0" collapsed="false">
      <c r="A26" s="319" t="n">
        <v>8</v>
      </c>
      <c r="B26" s="207" t="n">
        <f aca="true">NOW()</f>
        <v>46079.3358629398</v>
      </c>
      <c r="C26" s="323" t="n">
        <f aca="false">+$D$11-D26</f>
        <v>76.7161716587844</v>
      </c>
      <c r="D26" s="323" t="n">
        <f aca="false">+H25*$B$9/360*E26</f>
        <v>110.683944396506</v>
      </c>
      <c r="E26" s="208" t="n">
        <v>30</v>
      </c>
      <c r="F26" s="323" t="n">
        <f aca="false">+C26+D26</f>
        <v>187.400116055291</v>
      </c>
      <c r="G26" s="324" t="n">
        <f aca="false">+F26+M26</f>
        <v>194.898795168234</v>
      </c>
      <c r="H26" s="320" t="n">
        <f aca="false">+H25-C26</f>
        <v>9410.47906232748</v>
      </c>
      <c r="J26" s="325" t="n">
        <f aca="false">+H25*$J$18</f>
        <v>7.21026837782956</v>
      </c>
      <c r="K26" s="323" t="n">
        <f aca="false">+J26*$K$18</f>
        <v>0.252359393224035</v>
      </c>
      <c r="L26" s="323" t="n">
        <f aca="false">+J26*$L$18</f>
        <v>0.0360513418891478</v>
      </c>
      <c r="M26" s="320" t="n">
        <f aca="false">+J26+K26+L26</f>
        <v>7.49867911294275</v>
      </c>
    </row>
    <row r="27" customFormat="false" ht="12.75" hidden="false" customHeight="false" outlineLevel="0" collapsed="false">
      <c r="A27" s="319" t="n">
        <v>9</v>
      </c>
      <c r="B27" s="207" t="n">
        <f aca="false">+B26+E27</f>
        <v>46109.3358629398</v>
      </c>
      <c r="C27" s="323" t="n">
        <f aca="false">+$D$11-D27</f>
        <v>77.6111936614702</v>
      </c>
      <c r="D27" s="323" t="n">
        <f aca="false">+H26*$B$9/360*E27</f>
        <v>109.788922393821</v>
      </c>
      <c r="E27" s="208" t="n">
        <v>30</v>
      </c>
      <c r="F27" s="323" t="n">
        <f aca="false">+C27+D27</f>
        <v>187.400116055291</v>
      </c>
      <c r="G27" s="324" t="n">
        <f aca="false">+F27+M27</f>
        <v>194.838158706155</v>
      </c>
      <c r="H27" s="320" t="n">
        <f aca="false">+H26-C27</f>
        <v>9332.86786866601</v>
      </c>
      <c r="J27" s="325" t="n">
        <f aca="false">+H26*$J$18</f>
        <v>7.15196408736889</v>
      </c>
      <c r="K27" s="323" t="n">
        <f aca="false">+J27*$K$18</f>
        <v>0.250318743057911</v>
      </c>
      <c r="L27" s="323" t="n">
        <f aca="false">+J27*$L$18</f>
        <v>0.0357598204368444</v>
      </c>
      <c r="M27" s="320" t="n">
        <f aca="false">+J27+K27+L27</f>
        <v>7.43804265086364</v>
      </c>
    </row>
    <row r="28" customFormat="false" ht="12.75" hidden="false" customHeight="false" outlineLevel="0" collapsed="false">
      <c r="A28" s="319" t="n">
        <v>10</v>
      </c>
      <c r="B28" s="207" t="n">
        <f aca="false">+B27+E28</f>
        <v>46139.3358629398</v>
      </c>
      <c r="C28" s="323" t="n">
        <f aca="false">+$D$11-D28</f>
        <v>78.5166575875207</v>
      </c>
      <c r="D28" s="323" t="n">
        <f aca="false">+H27*$B$9/360*E28</f>
        <v>108.88345846777</v>
      </c>
      <c r="E28" s="208" t="n">
        <v>30</v>
      </c>
      <c r="F28" s="323" t="n">
        <f aca="false">+C28+D28</f>
        <v>187.400116055291</v>
      </c>
      <c r="G28" s="324" t="n">
        <f aca="false">+F28+M28</f>
        <v>194.776814818685</v>
      </c>
      <c r="H28" s="320" t="n">
        <f aca="false">+H27-C28</f>
        <v>9254.35121107849</v>
      </c>
      <c r="J28" s="325" t="n">
        <f aca="false">+H27*$J$18</f>
        <v>7.09297958018617</v>
      </c>
      <c r="K28" s="323" t="n">
        <f aca="false">+J28*$K$18</f>
        <v>0.248254285306516</v>
      </c>
      <c r="L28" s="323" t="n">
        <f aca="false">+J28*$L$18</f>
        <v>0.0354648979009308</v>
      </c>
      <c r="M28" s="320" t="n">
        <f aca="false">+J28+K28+L28</f>
        <v>7.37669876339362</v>
      </c>
    </row>
    <row r="29" customFormat="false" ht="12.75" hidden="false" customHeight="false" outlineLevel="0" collapsed="false">
      <c r="A29" s="319" t="n">
        <v>11</v>
      </c>
      <c r="B29" s="207" t="n">
        <f aca="false">+B28+E29</f>
        <v>46169.3358629398</v>
      </c>
      <c r="C29" s="323" t="n">
        <f aca="false">+$D$11-D29</f>
        <v>79.4326852593752</v>
      </c>
      <c r="D29" s="323" t="n">
        <f aca="false">+H28*$B$9/360*E29</f>
        <v>107.967430795916</v>
      </c>
      <c r="E29" s="208" t="n">
        <v>30</v>
      </c>
      <c r="F29" s="323" t="n">
        <f aca="false">+C29+D29</f>
        <v>187.400116055291</v>
      </c>
      <c r="G29" s="324" t="n">
        <f aca="false">+F29+M29</f>
        <v>194.714755252527</v>
      </c>
      <c r="H29" s="320" t="n">
        <f aca="false">+H28-C29</f>
        <v>9174.91852581912</v>
      </c>
      <c r="J29" s="325" t="n">
        <f aca="false">+H28*$J$18</f>
        <v>7.03330692041965</v>
      </c>
      <c r="K29" s="323" t="n">
        <f aca="false">+J29*$K$18</f>
        <v>0.246165742214688</v>
      </c>
      <c r="L29" s="323" t="n">
        <f aca="false">+J29*$L$18</f>
        <v>0.0351665346020983</v>
      </c>
      <c r="M29" s="320" t="n">
        <f aca="false">+J29+K29+L29</f>
        <v>7.31463919723644</v>
      </c>
    </row>
    <row r="30" customFormat="false" ht="12.75" hidden="false" customHeight="false" outlineLevel="0" collapsed="false">
      <c r="A30" s="319" t="n">
        <v>12</v>
      </c>
      <c r="B30" s="207" t="n">
        <f aca="true">NOW()</f>
        <v>46079.3358629398</v>
      </c>
      <c r="C30" s="323" t="n">
        <f aca="false">+$D$11-D30</f>
        <v>80.3593999207345</v>
      </c>
      <c r="D30" s="323" t="n">
        <f aca="false">+H29*$B$9/360*E30</f>
        <v>107.040716134556</v>
      </c>
      <c r="E30" s="208" t="n">
        <v>30</v>
      </c>
      <c r="F30" s="323" t="n">
        <f aca="false">+C30+D30</f>
        <v>187.400116055291</v>
      </c>
      <c r="G30" s="324" t="n">
        <f aca="false">+F30+M30</f>
        <v>194.651971658098</v>
      </c>
      <c r="H30" s="320" t="n">
        <f aca="false">+H29-C30</f>
        <v>9094.55912589838</v>
      </c>
      <c r="J30" s="325" t="n">
        <f aca="false">+H29*$J$18</f>
        <v>6.97293807962253</v>
      </c>
      <c r="K30" s="323" t="n">
        <f aca="false">+J30*$K$18</f>
        <v>0.244052832786789</v>
      </c>
      <c r="L30" s="323" t="n">
        <f aca="false">+J30*$L$18</f>
        <v>0.0348646903981126</v>
      </c>
      <c r="M30" s="320" t="n">
        <f aca="false">+J30+K30+L30</f>
        <v>7.25185560280743</v>
      </c>
    </row>
    <row r="31" customFormat="false" ht="12.75" hidden="false" customHeight="false" outlineLevel="0" collapsed="false">
      <c r="A31" s="319" t="n">
        <v>13</v>
      </c>
      <c r="B31" s="207" t="n">
        <f aca="false">+B30+E31</f>
        <v>46109.3358629398</v>
      </c>
      <c r="C31" s="323" t="n">
        <f aca="false">+$D$11-D31</f>
        <v>81.2969262531431</v>
      </c>
      <c r="D31" s="323" t="n">
        <f aca="false">+H30*$B$9/360*E31</f>
        <v>106.103189802148</v>
      </c>
      <c r="E31" s="208" t="n">
        <v>30</v>
      </c>
      <c r="F31" s="323" t="n">
        <f aca="false">+C31+D31</f>
        <v>187.400116055291</v>
      </c>
      <c r="G31" s="324" t="n">
        <f aca="false">+F31+M31</f>
        <v>194.588455588401</v>
      </c>
      <c r="H31" s="320" t="n">
        <f aca="false">+H30-C31</f>
        <v>9013.26219964524</v>
      </c>
      <c r="J31" s="325" t="n">
        <f aca="false">+H30*$J$18</f>
        <v>6.91186493568277</v>
      </c>
      <c r="K31" s="323" t="n">
        <f aca="false">+J31*$K$18</f>
        <v>0.241915272748897</v>
      </c>
      <c r="L31" s="323" t="n">
        <f aca="false">+J31*$L$18</f>
        <v>0.0345593246784139</v>
      </c>
      <c r="M31" s="320" t="n">
        <f aca="false">+J31+K31+L31</f>
        <v>7.18833953311008</v>
      </c>
    </row>
    <row r="32" customFormat="false" ht="12.75" hidden="false" customHeight="false" outlineLevel="0" collapsed="false">
      <c r="A32" s="319" t="n">
        <v>14</v>
      </c>
      <c r="B32" s="207" t="n">
        <f aca="false">+B31+E32</f>
        <v>46139.3358629398</v>
      </c>
      <c r="C32" s="323" t="n">
        <f aca="false">+$D$11-D32</f>
        <v>82.2453903927631</v>
      </c>
      <c r="D32" s="323" t="n">
        <f aca="false">+H31*$B$9/360*E32</f>
        <v>105.154725662528</v>
      </c>
      <c r="E32" s="208" t="n">
        <v>30</v>
      </c>
      <c r="F32" s="323" t="n">
        <f aca="false">+C32+D32</f>
        <v>187.400116055291</v>
      </c>
      <c r="G32" s="324" t="n">
        <f aca="false">+F32+M32</f>
        <v>194.52419849789</v>
      </c>
      <c r="H32" s="320" t="n">
        <f aca="false">+H31-C32</f>
        <v>8931.01680925248</v>
      </c>
      <c r="J32" s="325" t="n">
        <f aca="false">+H31*$J$18</f>
        <v>6.85007927173038</v>
      </c>
      <c r="K32" s="323" t="n">
        <f aca="false">+J32*$K$18</f>
        <v>0.239752774510563</v>
      </c>
      <c r="L32" s="323" t="n">
        <f aca="false">+J32*$L$18</f>
        <v>0.0342503963586519</v>
      </c>
      <c r="M32" s="320" t="n">
        <f aca="false">+J32+K32+L32</f>
        <v>7.1240824425996</v>
      </c>
    </row>
    <row r="33" customFormat="false" ht="12.75" hidden="false" customHeight="false" outlineLevel="0" collapsed="false">
      <c r="A33" s="319" t="n">
        <v>15</v>
      </c>
      <c r="B33" s="207" t="n">
        <f aca="false">+B32+E33</f>
        <v>46169.3358629398</v>
      </c>
      <c r="C33" s="323" t="n">
        <f aca="false">+$D$11-D33</f>
        <v>83.2049199473453</v>
      </c>
      <c r="D33" s="323" t="n">
        <f aca="false">+H32*$B$9/360*E33</f>
        <v>104.195196107946</v>
      </c>
      <c r="E33" s="208" t="n">
        <v>30</v>
      </c>
      <c r="F33" s="323" t="n">
        <f aca="false">+C33+D33</f>
        <v>187.400116055291</v>
      </c>
      <c r="G33" s="324" t="n">
        <f aca="false">+F33+M33</f>
        <v>194.459191741324</v>
      </c>
      <c r="H33" s="320" t="n">
        <f aca="false">+H32-C33</f>
        <v>8847.81188930513</v>
      </c>
      <c r="J33" s="325" t="n">
        <f aca="false">+H32*$J$18</f>
        <v>6.78757277503188</v>
      </c>
      <c r="K33" s="323" t="n">
        <f aca="false">+J33*$K$18</f>
        <v>0.237565047126116</v>
      </c>
      <c r="L33" s="323" t="n">
        <f aca="false">+J33*$L$18</f>
        <v>0.0339378638751594</v>
      </c>
      <c r="M33" s="320" t="n">
        <f aca="false">+J33+K33+L33</f>
        <v>7.05907568603316</v>
      </c>
    </row>
    <row r="34" customFormat="false" ht="12.75" hidden="false" customHeight="false" outlineLevel="0" collapsed="false">
      <c r="A34" s="319" t="n">
        <v>16</v>
      </c>
      <c r="B34" s="207" t="n">
        <f aca="true">NOW()</f>
        <v>46079.3358629398</v>
      </c>
      <c r="C34" s="323" t="n">
        <f aca="false">+$D$11-D34</f>
        <v>84.1756440133977</v>
      </c>
      <c r="D34" s="323" t="n">
        <f aca="false">+H33*$B$9/360*E34</f>
        <v>103.224472041893</v>
      </c>
      <c r="E34" s="208" t="n">
        <v>30</v>
      </c>
      <c r="F34" s="323" t="n">
        <f aca="false">+C34+D34</f>
        <v>187.400116055291</v>
      </c>
      <c r="G34" s="324" t="n">
        <f aca="false">+F34+M34</f>
        <v>194.393426572598</v>
      </c>
      <c r="H34" s="320" t="n">
        <f aca="false">+H33-C34</f>
        <v>8763.63624529173</v>
      </c>
      <c r="J34" s="325" t="n">
        <f aca="false">+H33*$J$18</f>
        <v>6.7243370358719</v>
      </c>
      <c r="K34" s="323" t="n">
        <f aca="false">+J34*$K$18</f>
        <v>0.235351796255516</v>
      </c>
      <c r="L34" s="323" t="n">
        <f aca="false">+J34*$L$18</f>
        <v>0.0336216851793595</v>
      </c>
      <c r="M34" s="320" t="n">
        <f aca="false">+J34+K34+L34</f>
        <v>6.99331051730677</v>
      </c>
    </row>
    <row r="35" customFormat="false" ht="12.75" hidden="false" customHeight="false" outlineLevel="0" collapsed="false">
      <c r="A35" s="319" t="n">
        <v>17</v>
      </c>
      <c r="B35" s="207" t="n">
        <f aca="false">+B34+E35</f>
        <v>46109.3358629398</v>
      </c>
      <c r="C35" s="323" t="n">
        <f aca="false">+$D$11-D35</f>
        <v>85.157693193554</v>
      </c>
      <c r="D35" s="323" t="n">
        <f aca="false">+H34*$B$9/360*E35</f>
        <v>102.242422861737</v>
      </c>
      <c r="E35" s="208" t="n">
        <v>30</v>
      </c>
      <c r="F35" s="323" t="n">
        <f aca="false">+C35+D35</f>
        <v>187.400116055291</v>
      </c>
      <c r="G35" s="324" t="n">
        <f aca="false">+F35+M35</f>
        <v>194.326894143569</v>
      </c>
      <c r="H35" s="320" t="n">
        <f aca="false">+H34-C35</f>
        <v>8678.47855209818</v>
      </c>
      <c r="J35" s="325" t="n">
        <f aca="false">+H34*$J$18</f>
        <v>6.66036354642172</v>
      </c>
      <c r="K35" s="323" t="n">
        <f aca="false">+J35*$K$18</f>
        <v>0.23311272412476</v>
      </c>
      <c r="L35" s="323" t="n">
        <f aca="false">+J35*$L$18</f>
        <v>0.0333018177321086</v>
      </c>
      <c r="M35" s="320" t="n">
        <f aca="false">+J35+K35+L35</f>
        <v>6.92677808827859</v>
      </c>
    </row>
    <row r="36" customFormat="false" ht="12.75" hidden="false" customHeight="false" outlineLevel="0" collapsed="false">
      <c r="A36" s="319" t="n">
        <v>18</v>
      </c>
      <c r="B36" s="207" t="n">
        <f aca="false">+B35+E36</f>
        <v>46139.3358629398</v>
      </c>
      <c r="C36" s="323" t="n">
        <f aca="false">+$D$11-D36</f>
        <v>86.1511996141455</v>
      </c>
      <c r="D36" s="323" t="n">
        <f aca="false">+H35*$B$9/360*E36</f>
        <v>101.248916441145</v>
      </c>
      <c r="E36" s="208" t="n">
        <v>30</v>
      </c>
      <c r="F36" s="323" t="n">
        <f aca="false">+C36+D36</f>
        <v>187.400116055291</v>
      </c>
      <c r="G36" s="324" t="n">
        <f aca="false">+F36+M36</f>
        <v>194.259585502869</v>
      </c>
      <c r="H36" s="320" t="n">
        <f aca="false">+H35-C36</f>
        <v>8592.32735248403</v>
      </c>
      <c r="J36" s="325" t="n">
        <f aca="false">+H35*$J$18</f>
        <v>6.59564369959462</v>
      </c>
      <c r="K36" s="323" t="n">
        <f aca="false">+J36*$K$18</f>
        <v>0.230847529485812</v>
      </c>
      <c r="L36" s="323" t="n">
        <f aca="false">+J36*$L$18</f>
        <v>0.0329782184979731</v>
      </c>
      <c r="M36" s="320" t="n">
        <f aca="false">+J36+K36+L36</f>
        <v>6.8594694475784</v>
      </c>
    </row>
    <row r="37" customFormat="false" ht="12.75" hidden="false" customHeight="false" outlineLevel="0" collapsed="false">
      <c r="A37" s="319" t="n">
        <v>19</v>
      </c>
      <c r="B37" s="207" t="n">
        <f aca="false">+B36+E37</f>
        <v>46169.3358629398</v>
      </c>
      <c r="C37" s="323" t="n">
        <f aca="false">+$D$11-D37</f>
        <v>87.1562969429772</v>
      </c>
      <c r="D37" s="323" t="n">
        <f aca="false">+H36*$B$9/360*E37</f>
        <v>100.243819112314</v>
      </c>
      <c r="E37" s="208" t="n">
        <v>30</v>
      </c>
      <c r="F37" s="323" t="n">
        <f aca="false">+C37+D37</f>
        <v>187.400116055291</v>
      </c>
      <c r="G37" s="324" t="n">
        <f aca="false">+F37+M37</f>
        <v>194.191491594694</v>
      </c>
      <c r="H37" s="320" t="n">
        <f aca="false">+H36-C37</f>
        <v>8505.17105554105</v>
      </c>
      <c r="J37" s="325" t="n">
        <f aca="false">+H36*$J$18</f>
        <v>6.53016878788786</v>
      </c>
      <c r="K37" s="323" t="n">
        <f aca="false">+J37*$K$18</f>
        <v>0.228555907576075</v>
      </c>
      <c r="L37" s="323" t="n">
        <f aca="false">+J37*$L$18</f>
        <v>0.0326508439394393</v>
      </c>
      <c r="M37" s="320" t="n">
        <f aca="false">+J37+K37+L37</f>
        <v>6.79137553940338</v>
      </c>
    </row>
    <row r="38" customFormat="false" ht="12.75" hidden="false" customHeight="false" outlineLevel="0" collapsed="false">
      <c r="A38" s="319" t="n">
        <v>20</v>
      </c>
      <c r="B38" s="207" t="n">
        <f aca="true">NOW()</f>
        <v>46079.3358629398</v>
      </c>
      <c r="C38" s="323" t="n">
        <f aca="false">+$D$11-D38</f>
        <v>88.1731204073119</v>
      </c>
      <c r="D38" s="323" t="n">
        <f aca="false">+H37*$B$9/360*E38</f>
        <v>99.226995647979</v>
      </c>
      <c r="E38" s="208" t="n">
        <v>30</v>
      </c>
      <c r="F38" s="323" t="n">
        <f aca="false">+C38+D38</f>
        <v>187.400116055291</v>
      </c>
      <c r="G38" s="324" t="n">
        <f aca="false">+F38+M38</f>
        <v>194.122603257591</v>
      </c>
      <c r="H38" s="320" t="n">
        <f aca="false">+H37-C38</f>
        <v>8416.99793513374</v>
      </c>
      <c r="J38" s="325" t="n">
        <f aca="false">+H37*$J$18</f>
        <v>6.4639300022112</v>
      </c>
      <c r="K38" s="323" t="n">
        <f aca="false">+J38*$K$18</f>
        <v>0.226237550077392</v>
      </c>
      <c r="L38" s="323" t="n">
        <f aca="false">+J38*$L$18</f>
        <v>0.032319650011056</v>
      </c>
      <c r="M38" s="320" t="n">
        <f aca="false">+J38+K38+L38</f>
        <v>6.72248720229965</v>
      </c>
    </row>
    <row r="39" customFormat="false" ht="12.75" hidden="false" customHeight="false" outlineLevel="0" collapsed="false">
      <c r="A39" s="319" t="n">
        <v>21</v>
      </c>
      <c r="B39" s="207" t="n">
        <f aca="false">+B38+E39</f>
        <v>46109.3358629398</v>
      </c>
      <c r="C39" s="323" t="n">
        <f aca="false">+$D$11-D39</f>
        <v>89.2018068120639</v>
      </c>
      <c r="D39" s="323" t="n">
        <f aca="false">+H38*$B$9/360*E39</f>
        <v>98.198309243227</v>
      </c>
      <c r="E39" s="208" t="n">
        <v>30</v>
      </c>
      <c r="F39" s="323" t="n">
        <f aca="false">+C39+D39</f>
        <v>187.400116055291</v>
      </c>
      <c r="G39" s="324" t="n">
        <f aca="false">+F39+M39</f>
        <v>194.052911223221</v>
      </c>
      <c r="H39" s="320" t="n">
        <f aca="false">+H38-C39</f>
        <v>8327.79612832168</v>
      </c>
      <c r="J39" s="325" t="n">
        <f aca="false">+H38*$J$18</f>
        <v>6.39691843070164</v>
      </c>
      <c r="K39" s="323" t="n">
        <f aca="false">+J39*$K$18</f>
        <v>0.223892145074558</v>
      </c>
      <c r="L39" s="323" t="n">
        <f aca="false">+J39*$L$18</f>
        <v>0.0319845921535082</v>
      </c>
      <c r="M39" s="320" t="n">
        <f aca="false">+J39+K39+L39</f>
        <v>6.65279516792971</v>
      </c>
    </row>
    <row r="40" customFormat="false" ht="12.75" hidden="false" customHeight="false" outlineLevel="0" collapsed="false">
      <c r="A40" s="319" t="n">
        <v>22</v>
      </c>
      <c r="B40" s="207" t="n">
        <f aca="false">+B39+E40</f>
        <v>46139.3358629398</v>
      </c>
      <c r="C40" s="323" t="n">
        <f aca="false">+$D$11-D40</f>
        <v>90.2424945582046</v>
      </c>
      <c r="D40" s="323" t="n">
        <f aca="false">+H39*$B$9/360*E40</f>
        <v>97.1576214970863</v>
      </c>
      <c r="E40" s="208" t="n">
        <v>30</v>
      </c>
      <c r="F40" s="323" t="n">
        <f aca="false">+C40+D40</f>
        <v>187.400116055291</v>
      </c>
      <c r="G40" s="324" t="n">
        <f aca="false">+F40+M40</f>
        <v>193.982406115116</v>
      </c>
      <c r="H40" s="320" t="n">
        <f aca="false">+H39-C40</f>
        <v>8237.55363376348</v>
      </c>
      <c r="J40" s="325" t="n">
        <f aca="false">+H39*$J$18</f>
        <v>6.32912505752448</v>
      </c>
      <c r="K40" s="323" t="n">
        <f aca="false">+J40*$K$18</f>
        <v>0.221519377013357</v>
      </c>
      <c r="L40" s="323" t="n">
        <f aca="false">+J40*$L$18</f>
        <v>0.0316456252876224</v>
      </c>
      <c r="M40" s="320" t="n">
        <f aca="false">+J40+K40+L40</f>
        <v>6.58229005982546</v>
      </c>
    </row>
    <row r="41" customFormat="false" ht="12.75" hidden="false" customHeight="false" outlineLevel="0" collapsed="false">
      <c r="A41" s="319" t="n">
        <v>23</v>
      </c>
      <c r="B41" s="207" t="n">
        <f aca="false">+B40+E41</f>
        <v>46169.3358629398</v>
      </c>
      <c r="C41" s="323" t="n">
        <f aca="false">+$D$11-D41</f>
        <v>91.2953236613837</v>
      </c>
      <c r="D41" s="323" t="n">
        <f aca="false">+H40*$B$9/360*E41</f>
        <v>96.1047923939072</v>
      </c>
      <c r="E41" s="208" t="n">
        <v>30</v>
      </c>
      <c r="F41" s="323" t="n">
        <f aca="false">+C41+D41</f>
        <v>187.400116055291</v>
      </c>
      <c r="G41" s="324" t="n">
        <f aca="false">+F41+M41</f>
        <v>193.911078447418</v>
      </c>
      <c r="H41" s="320" t="n">
        <f aca="false">+H40-C41</f>
        <v>8146.25831010209</v>
      </c>
      <c r="J41" s="325" t="n">
        <f aca="false">+H40*$J$18</f>
        <v>6.26054076166024</v>
      </c>
      <c r="K41" s="323" t="n">
        <f aca="false">+J41*$K$18</f>
        <v>0.219118926658108</v>
      </c>
      <c r="L41" s="323" t="n">
        <f aca="false">+J41*$L$18</f>
        <v>0.0313027038083012</v>
      </c>
      <c r="M41" s="320" t="n">
        <f aca="false">+J41+K41+L41</f>
        <v>6.51096239212665</v>
      </c>
    </row>
    <row r="42" customFormat="false" ht="12.75" hidden="false" customHeight="false" outlineLevel="0" collapsed="false">
      <c r="A42" s="319" t="n">
        <v>24</v>
      </c>
      <c r="B42" s="207" t="n">
        <f aca="true">NOW()</f>
        <v>46079.3358629398</v>
      </c>
      <c r="C42" s="323" t="n">
        <f aca="false">+$D$11-D42</f>
        <v>92.3604357707665</v>
      </c>
      <c r="D42" s="323" t="n">
        <f aca="false">+H41*$B$9/360*E42</f>
        <v>95.0396802845244</v>
      </c>
      <c r="E42" s="208" t="n">
        <v>30</v>
      </c>
      <c r="F42" s="323" t="n">
        <f aca="false">+C42+D42</f>
        <v>187.400116055291</v>
      </c>
      <c r="G42" s="324" t="n">
        <f aca="false">+F42+M42</f>
        <v>193.838918623596</v>
      </c>
      <c r="H42" s="320" t="n">
        <f aca="false">+H41-C42</f>
        <v>8053.89787433133</v>
      </c>
      <c r="J42" s="325" t="n">
        <f aca="false">+H41*$J$18</f>
        <v>6.19115631567759</v>
      </c>
      <c r="K42" s="323" t="n">
        <f aca="false">+J42*$K$18</f>
        <v>0.216690471048716</v>
      </c>
      <c r="L42" s="323" t="n">
        <f aca="false">+J42*$L$18</f>
        <v>0.0309557815783879</v>
      </c>
      <c r="M42" s="320" t="n">
        <f aca="false">+J42+K42+L42</f>
        <v>6.43880256830469</v>
      </c>
    </row>
    <row r="43" customFormat="false" ht="12.75" hidden="false" customHeight="false" outlineLevel="0" collapsed="false">
      <c r="A43" s="319" t="n">
        <v>25</v>
      </c>
      <c r="B43" s="207" t="n">
        <f aca="true">NOW()</f>
        <v>46079.3358629398</v>
      </c>
      <c r="C43" s="323" t="n">
        <f aca="false">+$D$11-D43</f>
        <v>93.4379741880921</v>
      </c>
      <c r="D43" s="323" t="n">
        <f aca="false">+H42*$B$9/360*E43</f>
        <v>93.9621418671988</v>
      </c>
      <c r="E43" s="208" t="n">
        <v>30</v>
      </c>
      <c r="F43" s="323" t="n">
        <f aca="false">+C43+D43</f>
        <v>187.400116055291</v>
      </c>
      <c r="G43" s="324" t="n">
        <f aca="false">+F43+M43</f>
        <v>193.765916935162</v>
      </c>
      <c r="H43" s="320" t="n">
        <f aca="false">+H42-C43</f>
        <v>7960.45990014323</v>
      </c>
      <c r="J43" s="325" t="n">
        <f aca="false">+H42*$J$18</f>
        <v>6.12096238449181</v>
      </c>
      <c r="K43" s="323" t="n">
        <f aca="false">+J43*$K$18</f>
        <v>0.214233683457213</v>
      </c>
      <c r="L43" s="323" t="n">
        <f aca="false">+J43*$L$18</f>
        <v>0.030604811922459</v>
      </c>
      <c r="M43" s="320" t="n">
        <f aca="false">+J43+K43+L43</f>
        <v>6.36580087987148</v>
      </c>
    </row>
    <row r="44" customFormat="false" ht="12.75" hidden="false" customHeight="false" outlineLevel="0" collapsed="false">
      <c r="A44" s="319" t="n">
        <v>26</v>
      </c>
      <c r="B44" s="207" t="n">
        <f aca="false">+B43+E44</f>
        <v>46109.3358629398</v>
      </c>
      <c r="C44" s="323" t="n">
        <f aca="false">+$D$11-D44</f>
        <v>94.5280838869532</v>
      </c>
      <c r="D44" s="323" t="n">
        <f aca="false">+H43*$B$9/360*E44</f>
        <v>92.8720321683377</v>
      </c>
      <c r="E44" s="208" t="n">
        <v>30</v>
      </c>
      <c r="F44" s="323" t="n">
        <f aca="false">+C44+D44</f>
        <v>187.400116055291</v>
      </c>
      <c r="G44" s="324" t="n">
        <f aca="false">+F44+M44</f>
        <v>193.692063560364</v>
      </c>
      <c r="H44" s="320" t="n">
        <f aca="false">+H43-C44</f>
        <v>7865.93181625628</v>
      </c>
      <c r="J44" s="325" t="n">
        <f aca="false">+H43*$J$18</f>
        <v>6.04994952410886</v>
      </c>
      <c r="K44" s="323" t="n">
        <f aca="false">+J44*$K$18</f>
        <v>0.21174823334381</v>
      </c>
      <c r="L44" s="323" t="n">
        <f aca="false">+J44*$L$18</f>
        <v>0.0302497476205443</v>
      </c>
      <c r="M44" s="320" t="n">
        <f aca="false">+J44+K44+L44</f>
        <v>6.29194750507321</v>
      </c>
    </row>
    <row r="45" customFormat="false" ht="12.75" hidden="false" customHeight="false" outlineLevel="0" collapsed="false">
      <c r="A45" s="319" t="n">
        <v>27</v>
      </c>
      <c r="B45" s="207" t="n">
        <f aca="false">+B44+E45</f>
        <v>46139.3358629398</v>
      </c>
      <c r="C45" s="323" t="n">
        <f aca="false">+$D$11-D45</f>
        <v>95.6309115323009</v>
      </c>
      <c r="D45" s="323" t="n">
        <f aca="false">+H44*$B$9/360*E45</f>
        <v>91.7692045229899</v>
      </c>
      <c r="E45" s="208" t="n">
        <v>30</v>
      </c>
      <c r="F45" s="323" t="n">
        <f aca="false">+C45+D45</f>
        <v>187.400116055291</v>
      </c>
      <c r="G45" s="324" t="n">
        <f aca="false">+F45+M45</f>
        <v>193.61734856286</v>
      </c>
      <c r="H45" s="320" t="n">
        <f aca="false">+H44-C45</f>
        <v>7770.30090472398</v>
      </c>
      <c r="J45" s="325" t="n">
        <f aca="false">+H44*$J$18</f>
        <v>5.97810818035477</v>
      </c>
      <c r="K45" s="323" t="n">
        <f aca="false">+J45*$K$18</f>
        <v>0.209233786312417</v>
      </c>
      <c r="L45" s="323" t="n">
        <f aca="false">+J45*$L$18</f>
        <v>0.0298905409017739</v>
      </c>
      <c r="M45" s="320" t="n">
        <f aca="false">+J45+K45+L45</f>
        <v>6.21723250756896</v>
      </c>
    </row>
    <row r="46" customFormat="false" ht="12.75" hidden="false" customHeight="false" outlineLevel="0" collapsed="false">
      <c r="A46" s="319" t="n">
        <v>28</v>
      </c>
      <c r="B46" s="207" t="n">
        <f aca="false">+B45+E46</f>
        <v>46169.3358629398</v>
      </c>
      <c r="C46" s="323" t="n">
        <f aca="false">+$D$11-D46</f>
        <v>96.7466055001778</v>
      </c>
      <c r="D46" s="323" t="n">
        <f aca="false">+H45*$B$9/360*E46</f>
        <v>90.6535105551131</v>
      </c>
      <c r="E46" s="208" t="n">
        <v>30</v>
      </c>
      <c r="F46" s="323" t="n">
        <f aca="false">+C46+D46</f>
        <v>187.400116055291</v>
      </c>
      <c r="G46" s="324" t="n">
        <f aca="false">+F46+M46</f>
        <v>193.541761890385</v>
      </c>
      <c r="H46" s="320" t="n">
        <f aca="false">+H45-C46</f>
        <v>7673.5542992238</v>
      </c>
      <c r="J46" s="325" t="n">
        <f aca="false">+H45*$J$18</f>
        <v>5.90542868759022</v>
      </c>
      <c r="K46" s="323" t="n">
        <f aca="false">+J46*$K$18</f>
        <v>0.206690004065658</v>
      </c>
      <c r="L46" s="323" t="n">
        <f aca="false">+J46*$L$18</f>
        <v>0.0295271434379511</v>
      </c>
      <c r="M46" s="320" t="n">
        <f aca="false">+J46+K46+L46</f>
        <v>6.14164583509383</v>
      </c>
    </row>
    <row r="47" customFormat="false" ht="12.75" hidden="false" customHeight="false" outlineLevel="0" collapsed="false">
      <c r="A47" s="319" t="n">
        <v>29</v>
      </c>
      <c r="B47" s="207" t="n">
        <f aca="true">NOW()</f>
        <v>46079.3358629398</v>
      </c>
      <c r="C47" s="323" t="n">
        <f aca="false">+$D$11-D47</f>
        <v>97.8753158976799</v>
      </c>
      <c r="D47" s="323" t="n">
        <f aca="false">+H46*$B$9/360*E47</f>
        <v>89.524800157611</v>
      </c>
      <c r="E47" s="208" t="n">
        <v>30</v>
      </c>
      <c r="F47" s="323" t="n">
        <f aca="false">+C47+D47</f>
        <v>187.400116055291</v>
      </c>
      <c r="G47" s="324" t="n">
        <f aca="false">+F47+M47</f>
        <v>193.465293373397</v>
      </c>
      <c r="H47" s="320" t="n">
        <f aca="false">+H46-C47</f>
        <v>7575.67898332612</v>
      </c>
      <c r="J47" s="325" t="n">
        <f aca="false">+H46*$J$18</f>
        <v>5.83190126741009</v>
      </c>
      <c r="K47" s="323" t="n">
        <f aca="false">+J47*$K$18</f>
        <v>0.204116544359353</v>
      </c>
      <c r="L47" s="323" t="n">
        <f aca="false">+J47*$L$18</f>
        <v>0.0291595063370504</v>
      </c>
      <c r="M47" s="320" t="n">
        <f aca="false">+J47+K47+L47</f>
        <v>6.06517731810649</v>
      </c>
    </row>
    <row r="48" customFormat="false" ht="12.75" hidden="false" customHeight="false" outlineLevel="0" collapsed="false">
      <c r="A48" s="319" t="n">
        <v>30</v>
      </c>
      <c r="B48" s="207" t="n">
        <f aca="false">+B47+E48</f>
        <v>46109.3358629398</v>
      </c>
      <c r="C48" s="323" t="n">
        <f aca="false">+$D$11-D48</f>
        <v>99.0171945831528</v>
      </c>
      <c r="D48" s="323" t="n">
        <f aca="false">+H47*$B$9/360*E48</f>
        <v>88.3829214721381</v>
      </c>
      <c r="E48" s="208" t="n">
        <v>30</v>
      </c>
      <c r="F48" s="323" t="n">
        <f aca="false">+C48+D48</f>
        <v>187.400116055291</v>
      </c>
      <c r="G48" s="324" t="n">
        <f aca="false">+F48+M48</f>
        <v>193.387932723712</v>
      </c>
      <c r="H48" s="320" t="n">
        <f aca="false">+H47-C48</f>
        <v>7476.66178874297</v>
      </c>
      <c r="J48" s="325" t="n">
        <f aca="false">+H47*$J$18</f>
        <v>5.75751602732785</v>
      </c>
      <c r="K48" s="323" t="n">
        <f aca="false">+J48*$K$18</f>
        <v>0.201513060956475</v>
      </c>
      <c r="L48" s="323" t="n">
        <f aca="false">+J48*$L$18</f>
        <v>0.0287875801366393</v>
      </c>
      <c r="M48" s="320" t="n">
        <f aca="false">+J48+K48+L48</f>
        <v>5.98781666842097</v>
      </c>
    </row>
    <row r="49" customFormat="false" ht="12.75" hidden="false" customHeight="false" outlineLevel="0" collapsed="false">
      <c r="A49" s="319" t="n">
        <v>31</v>
      </c>
      <c r="B49" s="207" t="n">
        <f aca="false">+B48+E49</f>
        <v>46139.3358629398</v>
      </c>
      <c r="C49" s="323" t="n">
        <f aca="false">+$D$11-D49</f>
        <v>100.172395186623</v>
      </c>
      <c r="D49" s="323" t="n">
        <f aca="false">+H48*$B$9/360*E49</f>
        <v>87.227720868668</v>
      </c>
      <c r="E49" s="208" t="n">
        <v>30</v>
      </c>
      <c r="F49" s="323" t="n">
        <f aca="false">+C49+D49</f>
        <v>187.400116055291</v>
      </c>
      <c r="G49" s="324" t="n">
        <f aca="false">+F49+M49</f>
        <v>193.309669533113</v>
      </c>
      <c r="H49" s="320" t="n">
        <f aca="false">+H48-C49</f>
        <v>7376.48939355635</v>
      </c>
      <c r="J49" s="325" t="n">
        <f aca="false">+H48*$J$18</f>
        <v>5.68226295944466</v>
      </c>
      <c r="K49" s="323" t="n">
        <f aca="false">+J49*$K$18</f>
        <v>0.198879203580563</v>
      </c>
      <c r="L49" s="323" t="n">
        <f aca="false">+J49*$L$18</f>
        <v>0.0284113147972233</v>
      </c>
      <c r="M49" s="320" t="n">
        <f aca="false">+J49+K49+L49</f>
        <v>5.90955347782244</v>
      </c>
    </row>
    <row r="50" customFormat="false" ht="12.75" hidden="false" customHeight="false" outlineLevel="0" collapsed="false">
      <c r="A50" s="319" t="n">
        <v>32</v>
      </c>
      <c r="B50" s="207" t="n">
        <f aca="false">+B49+E50</f>
        <v>46169.3358629398</v>
      </c>
      <c r="C50" s="323" t="n">
        <f aca="false">+$D$11-D50</f>
        <v>101.341073130467</v>
      </c>
      <c r="D50" s="323" t="n">
        <f aca="false">+H49*$B$9/360*E50</f>
        <v>86.059042924824</v>
      </c>
      <c r="E50" s="208" t="n">
        <v>30</v>
      </c>
      <c r="F50" s="323" t="n">
        <f aca="false">+C50+D50</f>
        <v>187.400116055291</v>
      </c>
      <c r="G50" s="324" t="n">
        <f aca="false">+F50+M50</f>
        <v>193.230493271958</v>
      </c>
      <c r="H50" s="320" t="n">
        <f aca="false">+H49-C50</f>
        <v>7275.14832042588</v>
      </c>
      <c r="J50" s="325" t="n">
        <f aca="false">+H49*$J$18</f>
        <v>5.60613193910282</v>
      </c>
      <c r="K50" s="323" t="n">
        <f aca="false">+J50*$K$18</f>
        <v>0.196214617868599</v>
      </c>
      <c r="L50" s="323" t="n">
        <f aca="false">+J50*$L$18</f>
        <v>0.0280306596955141</v>
      </c>
      <c r="M50" s="320" t="n">
        <f aca="false">+J50+K50+L50</f>
        <v>5.83037721666694</v>
      </c>
    </row>
    <row r="51" customFormat="false" ht="12.75" hidden="false" customHeight="false" outlineLevel="0" collapsed="false">
      <c r="A51" s="319" t="n">
        <v>33</v>
      </c>
      <c r="B51" s="207" t="n">
        <f aca="true">NOW()</f>
        <v>46079.3358629398</v>
      </c>
      <c r="C51" s="323" t="n">
        <f aca="false">+$D$11-D51</f>
        <v>102.523385650322</v>
      </c>
      <c r="D51" s="323" t="n">
        <f aca="false">+H50*$B$9/360*E51</f>
        <v>84.8767304049686</v>
      </c>
      <c r="E51" s="208" t="n">
        <v>30</v>
      </c>
      <c r="F51" s="323" t="n">
        <f aca="false">+C51+D51</f>
        <v>187.400116055291</v>
      </c>
      <c r="G51" s="324" t="n">
        <f aca="false">+F51+M51</f>
        <v>193.150393287756</v>
      </c>
      <c r="H51" s="320" t="n">
        <f aca="false">+H50-C51</f>
        <v>7172.62493477556</v>
      </c>
      <c r="J51" s="325" t="n">
        <f aca="false">+H50*$J$18</f>
        <v>5.52911272352367</v>
      </c>
      <c r="K51" s="323" t="n">
        <f aca="false">+J51*$K$18</f>
        <v>0.193518945323328</v>
      </c>
      <c r="L51" s="323" t="n">
        <f aca="false">+J51*$L$18</f>
        <v>0.0276455636176183</v>
      </c>
      <c r="M51" s="320" t="n">
        <f aca="false">+J51+K51+L51</f>
        <v>5.75027723246461</v>
      </c>
    </row>
    <row r="52" customFormat="false" ht="12.75" hidden="false" customHeight="false" outlineLevel="0" collapsed="false">
      <c r="A52" s="319" t="n">
        <v>34</v>
      </c>
      <c r="B52" s="207" t="n">
        <f aca="false">+B51+E52</f>
        <v>46109.3358629398</v>
      </c>
      <c r="C52" s="323" t="n">
        <f aca="false">+$D$11-D52</f>
        <v>103.719491816243</v>
      </c>
      <c r="D52" s="323" t="n">
        <f aca="false">+H51*$B$9/360*E52</f>
        <v>83.6806242390482</v>
      </c>
      <c r="E52" s="208" t="n">
        <v>30</v>
      </c>
      <c r="F52" s="323" t="n">
        <f aca="false">+C52+D52</f>
        <v>187.400116055291</v>
      </c>
      <c r="G52" s="324" t="n">
        <f aca="false">+F52+M52</f>
        <v>193.069358803738</v>
      </c>
      <c r="H52" s="320" t="n">
        <f aca="false">+H51-C52</f>
        <v>7068.90544295931</v>
      </c>
      <c r="J52" s="325" t="n">
        <f aca="false">+H51*$J$18</f>
        <v>5.45119495042942</v>
      </c>
      <c r="K52" s="323" t="n">
        <f aca="false">+J52*$K$18</f>
        <v>0.19079182326503</v>
      </c>
      <c r="L52" s="323" t="n">
        <f aca="false">+J52*$L$18</f>
        <v>0.0272559747521471</v>
      </c>
      <c r="M52" s="320" t="n">
        <f aca="false">+J52+K52+L52</f>
        <v>5.6692427484466</v>
      </c>
    </row>
    <row r="53" customFormat="false" ht="12.75" hidden="false" customHeight="false" outlineLevel="0" collapsed="false">
      <c r="A53" s="319" t="n">
        <v>35</v>
      </c>
      <c r="B53" s="207" t="n">
        <f aca="false">+B52+E53</f>
        <v>46139.3358629398</v>
      </c>
      <c r="C53" s="323" t="n">
        <f aca="false">+$D$11-D53</f>
        <v>104.929552554099</v>
      </c>
      <c r="D53" s="323" t="n">
        <f aca="false">+H52*$B$9/360*E53</f>
        <v>82.470563501192</v>
      </c>
      <c r="E53" s="208" t="n">
        <v>30</v>
      </c>
      <c r="F53" s="323" t="n">
        <f aca="false">+C53+D53</f>
        <v>187.400116055291</v>
      </c>
      <c r="G53" s="324" t="n">
        <f aca="false">+F53+M53</f>
        <v>192.987378917406</v>
      </c>
      <c r="H53" s="320" t="n">
        <f aca="false">+H52-C53</f>
        <v>6963.97589040521</v>
      </c>
      <c r="J53" s="325" t="n">
        <f aca="false">+H52*$J$18</f>
        <v>5.37236813664908</v>
      </c>
      <c r="K53" s="323" t="n">
        <f aca="false">+J53*$K$18</f>
        <v>0.188032884782718</v>
      </c>
      <c r="L53" s="323" t="n">
        <f aca="false">+J53*$L$18</f>
        <v>0.0268618406832454</v>
      </c>
      <c r="M53" s="320" t="n">
        <f aca="false">+J53+K53+L53</f>
        <v>5.58726286211504</v>
      </c>
    </row>
    <row r="54" customFormat="false" ht="12.75" hidden="false" customHeight="false" outlineLevel="0" collapsed="false">
      <c r="A54" s="319" t="n">
        <v>36</v>
      </c>
      <c r="B54" s="207" t="n">
        <f aca="false">+B53+E54</f>
        <v>46169.3358629398</v>
      </c>
      <c r="C54" s="323" t="n">
        <f aca="false">+$D$11-D54</f>
        <v>106.15373066723</v>
      </c>
      <c r="D54" s="323" t="n">
        <f aca="false">+H53*$B$9/360*E54</f>
        <v>81.2463853880608</v>
      </c>
      <c r="E54" s="208" t="n">
        <v>30</v>
      </c>
      <c r="F54" s="323" t="n">
        <f aca="false">+C54+D54</f>
        <v>187.400116055291</v>
      </c>
      <c r="G54" s="324" t="n">
        <f aca="false">+F54+M54</f>
        <v>192.904442599067</v>
      </c>
      <c r="H54" s="320" t="n">
        <f aca="false">+H53-C54</f>
        <v>6857.82215973798</v>
      </c>
      <c r="J54" s="325" t="n">
        <f aca="false">+H53*$J$18</f>
        <v>5.29262167670796</v>
      </c>
      <c r="K54" s="323" t="n">
        <f aca="false">+J54*$K$18</f>
        <v>0.185241758684779</v>
      </c>
      <c r="L54" s="323" t="n">
        <f aca="false">+J54*$L$18</f>
        <v>0.0264631083835398</v>
      </c>
      <c r="M54" s="320" t="n">
        <f aca="false">+J54+K54+L54</f>
        <v>5.50432654377628</v>
      </c>
    </row>
    <row r="55" customFormat="false" ht="12.75" hidden="false" customHeight="false" outlineLevel="0" collapsed="false">
      <c r="A55" s="319" t="n">
        <v>37</v>
      </c>
      <c r="B55" s="207" t="n">
        <f aca="true">NOW()</f>
        <v>46079.3358629398</v>
      </c>
      <c r="C55" s="323" t="n">
        <f aca="false">+$D$11-D55</f>
        <v>107.392190858348</v>
      </c>
      <c r="D55" s="323" t="n">
        <f aca="false">+H54*$B$9/360*E55</f>
        <v>80.0079251969432</v>
      </c>
      <c r="E55" s="208" t="n">
        <v>30</v>
      </c>
      <c r="F55" s="323" t="n">
        <f aca="false">+C55+D55</f>
        <v>187.400116055291</v>
      </c>
      <c r="G55" s="324" t="n">
        <f aca="false">+F55+M55</f>
        <v>192.820538690348</v>
      </c>
      <c r="H55" s="320" t="n">
        <f aca="false">+H54-C55</f>
        <v>6750.42996887964</v>
      </c>
      <c r="J55" s="325" t="n">
        <f aca="false">+H54*$J$18</f>
        <v>5.21194484140087</v>
      </c>
      <c r="K55" s="323" t="n">
        <f aca="false">+J55*$K$18</f>
        <v>0.18241806944903</v>
      </c>
      <c r="L55" s="323" t="n">
        <f aca="false">+J55*$L$18</f>
        <v>0.0260597242070043</v>
      </c>
      <c r="M55" s="320" t="n">
        <f aca="false">+J55+K55+L55</f>
        <v>5.4204226350569</v>
      </c>
    </row>
    <row r="56" customFormat="false" ht="12.75" hidden="false" customHeight="false" outlineLevel="0" collapsed="false">
      <c r="A56" s="319" t="n">
        <v>38</v>
      </c>
      <c r="B56" s="207" t="n">
        <f aca="false">+B55+E56</f>
        <v>46109.3358629398</v>
      </c>
      <c r="C56" s="323" t="n">
        <f aca="false">+$D$11-D56</f>
        <v>108.645099751695</v>
      </c>
      <c r="D56" s="323" t="n">
        <f aca="false">+H55*$B$9/360*E56</f>
        <v>78.7550163035958</v>
      </c>
      <c r="E56" s="208" t="n">
        <v>30</v>
      </c>
      <c r="F56" s="323" t="n">
        <f aca="false">+C56+D56</f>
        <v>187.400116055291</v>
      </c>
      <c r="G56" s="324" t="n">
        <f aca="false">+F56+M56</f>
        <v>192.735655902693</v>
      </c>
      <c r="H56" s="320" t="n">
        <f aca="false">+H55-C56</f>
        <v>6641.78486912794</v>
      </c>
      <c r="J56" s="325" t="n">
        <f aca="false">+H55*$J$18</f>
        <v>5.13032677634852</v>
      </c>
      <c r="K56" s="323" t="n">
        <f aca="false">+J56*$K$18</f>
        <v>0.179561437172198</v>
      </c>
      <c r="L56" s="323" t="n">
        <f aca="false">+J56*$L$18</f>
        <v>0.0256516338817426</v>
      </c>
      <c r="M56" s="320" t="n">
        <f aca="false">+J56+K56+L56</f>
        <v>5.33553984740247</v>
      </c>
    </row>
    <row r="57" customFormat="false" ht="12.75" hidden="false" customHeight="false" outlineLevel="0" collapsed="false">
      <c r="A57" s="319" t="n">
        <v>39</v>
      </c>
      <c r="B57" s="207" t="n">
        <f aca="false">+B56+E57</f>
        <v>46139.3358629398</v>
      </c>
      <c r="C57" s="323" t="n">
        <f aca="false">+$D$11-D57</f>
        <v>109.912625915465</v>
      </c>
      <c r="D57" s="323" t="n">
        <f aca="false">+H56*$B$9/360*E57</f>
        <v>77.487490139826</v>
      </c>
      <c r="E57" s="208" t="n">
        <v>30</v>
      </c>
      <c r="F57" s="323" t="n">
        <f aca="false">+C57+D57</f>
        <v>187.400116055291</v>
      </c>
      <c r="G57" s="324" t="n">
        <f aca="false">+F57+M57</f>
        <v>192.64978281585</v>
      </c>
      <c r="H57" s="320" t="n">
        <f aca="false">+H56-C57</f>
        <v>6531.87224321248</v>
      </c>
      <c r="J57" s="325" t="n">
        <f aca="false">+H56*$J$18</f>
        <v>5.04775650053724</v>
      </c>
      <c r="K57" s="323" t="n">
        <f aca="false">+J57*$K$18</f>
        <v>0.176671477518803</v>
      </c>
      <c r="L57" s="323" t="n">
        <f aca="false">+J57*$L$18</f>
        <v>0.0252387825026862</v>
      </c>
      <c r="M57" s="320" t="n">
        <f aca="false">+J57+K57+L57</f>
        <v>5.24966676055873</v>
      </c>
    </row>
    <row r="58" customFormat="false" ht="12.75" hidden="false" customHeight="false" outlineLevel="0" collapsed="false">
      <c r="A58" s="319" t="n">
        <v>40</v>
      </c>
      <c r="B58" s="207" t="n">
        <f aca="false">+B57+E58</f>
        <v>46169.3358629398</v>
      </c>
      <c r="C58" s="323" t="n">
        <f aca="false">+$D$11-D58</f>
        <v>111.194939884479</v>
      </c>
      <c r="D58" s="323" t="n">
        <f aca="false">+H57*$B$9/360*E58</f>
        <v>76.2051761708122</v>
      </c>
      <c r="E58" s="208" t="n">
        <v>30</v>
      </c>
      <c r="F58" s="323" t="n">
        <f aca="false">+C58+D58</f>
        <v>187.400116055291</v>
      </c>
      <c r="G58" s="324" t="n">
        <f aca="false">+F58+M58</f>
        <v>192.562907876326</v>
      </c>
      <c r="H58" s="320" t="n">
        <f aca="false">+H57-C58</f>
        <v>6420.677303328</v>
      </c>
      <c r="J58" s="325" t="n">
        <f aca="false">+H57*$J$18</f>
        <v>4.96422290484148</v>
      </c>
      <c r="K58" s="323" t="n">
        <f aca="false">+J58*$K$18</f>
        <v>0.173747801669452</v>
      </c>
      <c r="L58" s="323" t="n">
        <f aca="false">+J58*$L$18</f>
        <v>0.0248211145242074</v>
      </c>
      <c r="M58" s="320" t="n">
        <f aca="false">+J58+K58+L58</f>
        <v>5.16279182103514</v>
      </c>
    </row>
    <row r="59" customFormat="false" ht="12.75" hidden="false" customHeight="false" outlineLevel="0" collapsed="false">
      <c r="A59" s="319" t="n">
        <v>41</v>
      </c>
      <c r="B59" s="207" t="n">
        <f aca="true">NOW()</f>
        <v>46079.3358629398</v>
      </c>
      <c r="C59" s="323" t="n">
        <f aca="false">+$D$11-D59</f>
        <v>112.492214183131</v>
      </c>
      <c r="D59" s="323" t="n">
        <f aca="false">+H58*$B$9/360*E59</f>
        <v>74.90790187216</v>
      </c>
      <c r="E59" s="208" t="n">
        <v>30</v>
      </c>
      <c r="F59" s="323" t="n">
        <f aca="false">+C59+D59</f>
        <v>187.400116055291</v>
      </c>
      <c r="G59" s="324" t="n">
        <f aca="false">+F59+M59</f>
        <v>192.475019395841</v>
      </c>
      <c r="H59" s="320" t="n">
        <f aca="false">+H58-C59</f>
        <v>6308.18508914487</v>
      </c>
      <c r="J59" s="325" t="n">
        <f aca="false">+H58*$J$18</f>
        <v>4.87971475052928</v>
      </c>
      <c r="K59" s="323" t="n">
        <f aca="false">+J59*$K$18</f>
        <v>0.170790016268525</v>
      </c>
      <c r="L59" s="323" t="n">
        <f aca="false">+J59*$L$18</f>
        <v>0.0243985737526464</v>
      </c>
      <c r="M59" s="320" t="n">
        <f aca="false">+J59+K59+L59</f>
        <v>5.07490334055045</v>
      </c>
    </row>
    <row r="60" customFormat="false" ht="12.75" hidden="false" customHeight="false" outlineLevel="0" collapsed="false">
      <c r="A60" s="319" t="n">
        <v>42</v>
      </c>
      <c r="B60" s="207" t="n">
        <f aca="false">+B59+E60</f>
        <v>46109.3358629398</v>
      </c>
      <c r="C60" s="323" t="n">
        <f aca="false">+$D$11-D60</f>
        <v>113.804623348601</v>
      </c>
      <c r="D60" s="323" t="n">
        <f aca="false">+H59*$B$9/360*E60</f>
        <v>73.5954927066901</v>
      </c>
      <c r="E60" s="208" t="n">
        <v>30</v>
      </c>
      <c r="F60" s="323" t="n">
        <f aca="false">+C60+D60</f>
        <v>187.400116055291</v>
      </c>
      <c r="G60" s="324" t="n">
        <f aca="false">+F60+M60</f>
        <v>192.386105549751</v>
      </c>
      <c r="H60" s="320" t="n">
        <f aca="false">+H59-C60</f>
        <v>6194.38046579627</v>
      </c>
      <c r="J60" s="325" t="n">
        <f aca="false">+H59*$J$18</f>
        <v>4.7942206677501</v>
      </c>
      <c r="K60" s="323" t="n">
        <f aca="false">+J60*$K$18</f>
        <v>0.167797723371253</v>
      </c>
      <c r="L60" s="323" t="n">
        <f aca="false">+J60*$L$18</f>
        <v>0.0239711033387505</v>
      </c>
      <c r="M60" s="320" t="n">
        <f aca="false">+J60+K60+L60</f>
        <v>4.9859894944601</v>
      </c>
    </row>
    <row r="61" customFormat="false" ht="12.75" hidden="false" customHeight="false" outlineLevel="0" collapsed="false">
      <c r="A61" s="319" t="n">
        <v>43</v>
      </c>
      <c r="B61" s="207" t="n">
        <f aca="false">+B60+E61</f>
        <v>46139.3358629398</v>
      </c>
      <c r="C61" s="323" t="n">
        <f aca="false">+$D$11-D61</f>
        <v>115.132343954334</v>
      </c>
      <c r="D61" s="323" t="n">
        <f aca="false">+H60*$B$9/360*E61</f>
        <v>72.2677721009564</v>
      </c>
      <c r="E61" s="208" t="n">
        <v>30</v>
      </c>
      <c r="F61" s="323" t="n">
        <f aca="false">+C61+D61</f>
        <v>187.400116055291</v>
      </c>
      <c r="G61" s="324" t="n">
        <f aca="false">+F61+M61</f>
        <v>192.296154375456</v>
      </c>
      <c r="H61" s="320" t="n">
        <f aca="false">+H60-C61</f>
        <v>6079.24812184193</v>
      </c>
      <c r="J61" s="325" t="n">
        <f aca="false">+H60*$J$18</f>
        <v>4.70772915400516</v>
      </c>
      <c r="K61" s="323" t="n">
        <f aca="false">+J61*$K$18</f>
        <v>0.164770520390181</v>
      </c>
      <c r="L61" s="323" t="n">
        <f aca="false">+J61*$L$18</f>
        <v>0.0235386457700258</v>
      </c>
      <c r="M61" s="320" t="n">
        <f aca="false">+J61+K61+L61</f>
        <v>4.89603832016537</v>
      </c>
    </row>
    <row r="62" customFormat="false" ht="12.75" hidden="false" customHeight="false" outlineLevel="0" collapsed="false">
      <c r="A62" s="319" t="n">
        <v>44</v>
      </c>
      <c r="B62" s="207" t="n">
        <f aca="false">+B61+E62</f>
        <v>46169.3358629398</v>
      </c>
      <c r="C62" s="323" t="n">
        <f aca="false">+$D$11-D62</f>
        <v>116.475554633802</v>
      </c>
      <c r="D62" s="323" t="n">
        <f aca="false">+H61*$B$9/360*E62</f>
        <v>70.9245614214892</v>
      </c>
      <c r="E62" s="208" t="n">
        <v>30</v>
      </c>
      <c r="F62" s="323" t="n">
        <f aca="false">+C62+D62</f>
        <v>187.400116055291</v>
      </c>
      <c r="G62" s="324" t="n">
        <f aca="false">+F62+M62</f>
        <v>192.205153770795</v>
      </c>
      <c r="H62" s="320" t="n">
        <f aca="false">+H61-C62</f>
        <v>5962.77256720813</v>
      </c>
      <c r="J62" s="325" t="n">
        <f aca="false">+H61*$J$18</f>
        <v>4.62022857259987</v>
      </c>
      <c r="K62" s="323" t="n">
        <f aca="false">+J62*$K$18</f>
        <v>0.161708000040995</v>
      </c>
      <c r="L62" s="323" t="n">
        <f aca="false">+J62*$L$18</f>
        <v>0.0231011428629993</v>
      </c>
      <c r="M62" s="320" t="n">
        <f aca="false">+J62+K62+L62</f>
        <v>4.80503771550386</v>
      </c>
    </row>
    <row r="63" customFormat="false" ht="12.75" hidden="false" customHeight="false" outlineLevel="0" collapsed="false">
      <c r="A63" s="319" t="n">
        <v>45</v>
      </c>
      <c r="B63" s="207" t="n">
        <f aca="true">NOW()</f>
        <v>46079.3358629398</v>
      </c>
      <c r="C63" s="323" t="n">
        <f aca="false">+$D$11-D63</f>
        <v>117.834436104529</v>
      </c>
      <c r="D63" s="323" t="n">
        <f aca="false">+H62*$B$9/360*E63</f>
        <v>69.5656799507615</v>
      </c>
      <c r="E63" s="208" t="n">
        <v>30</v>
      </c>
      <c r="F63" s="323" t="n">
        <f aca="false">+C63+D63</f>
        <v>187.400116055291</v>
      </c>
      <c r="G63" s="324" t="n">
        <f aca="false">+F63+M63</f>
        <v>192.113091492412</v>
      </c>
      <c r="H63" s="320" t="n">
        <f aca="false">+H62-C63</f>
        <v>5844.9381311036</v>
      </c>
      <c r="J63" s="325" t="n">
        <f aca="false">+H62*$J$18</f>
        <v>4.53170715107818</v>
      </c>
      <c r="K63" s="323" t="n">
        <f aca="false">+J63*$K$18</f>
        <v>0.158609750287736</v>
      </c>
      <c r="L63" s="323" t="n">
        <f aca="false">+J63*$L$18</f>
        <v>0.0226585357553909</v>
      </c>
      <c r="M63" s="320" t="n">
        <f aca="false">+J63+K63+L63</f>
        <v>4.71297543712131</v>
      </c>
    </row>
    <row r="64" customFormat="false" ht="12.75" hidden="false" customHeight="false" outlineLevel="0" collapsed="false">
      <c r="A64" s="319" t="n">
        <v>46</v>
      </c>
      <c r="B64" s="207" t="n">
        <f aca="false">+B63+E64</f>
        <v>46109.3358629398</v>
      </c>
      <c r="C64" s="323" t="n">
        <f aca="false">+$D$11-D64</f>
        <v>119.209171192416</v>
      </c>
      <c r="D64" s="323" t="n">
        <f aca="false">+H63*$B$9/360*E64</f>
        <v>68.1909448628753</v>
      </c>
      <c r="E64" s="208" t="n">
        <v>30</v>
      </c>
      <c r="F64" s="323" t="n">
        <f aca="false">+C64+D64</f>
        <v>187.400116055291</v>
      </c>
      <c r="G64" s="324" t="n">
        <f aca="false">+F64+M64</f>
        <v>192.019955154115</v>
      </c>
      <c r="H64" s="320" t="n">
        <f aca="false">+H63-C64</f>
        <v>5725.72895991118</v>
      </c>
      <c r="J64" s="325" t="n">
        <f aca="false">+H63*$J$18</f>
        <v>4.44215297963874</v>
      </c>
      <c r="K64" s="323" t="n">
        <f aca="false">+J64*$K$18</f>
        <v>0.155475354287356</v>
      </c>
      <c r="L64" s="323" t="n">
        <f aca="false">+J64*$L$18</f>
        <v>0.0222107648981937</v>
      </c>
      <c r="M64" s="320" t="n">
        <f aca="false">+J64+K64+L64</f>
        <v>4.61983909882429</v>
      </c>
    </row>
    <row r="65" customFormat="false" ht="12.75" hidden="false" customHeight="false" outlineLevel="0" collapsed="false">
      <c r="A65" s="319" t="n">
        <v>47</v>
      </c>
      <c r="B65" s="207" t="n">
        <f aca="false">+B64+E65</f>
        <v>46139.3358629398</v>
      </c>
      <c r="C65" s="323" t="n">
        <f aca="false">+$D$11-D65</f>
        <v>120.599944856327</v>
      </c>
      <c r="D65" s="323" t="n">
        <f aca="false">+H64*$B$9/360*E65</f>
        <v>66.8001711989638</v>
      </c>
      <c r="E65" s="208" t="n">
        <v>30</v>
      </c>
      <c r="F65" s="323" t="n">
        <f aca="false">+C65+D65</f>
        <v>187.400116055291</v>
      </c>
      <c r="G65" s="324" t="n">
        <f aca="false">+F65+M65</f>
        <v>191.925732225205</v>
      </c>
      <c r="H65" s="320" t="n">
        <f aca="false">+H64-C65</f>
        <v>5605.12901505486</v>
      </c>
      <c r="J65" s="325" t="n">
        <f aca="false">+H64*$J$18</f>
        <v>4.3515540095325</v>
      </c>
      <c r="K65" s="323" t="n">
        <f aca="false">+J65*$K$18</f>
        <v>0.152304390333638</v>
      </c>
      <c r="L65" s="323" t="n">
        <f aca="false">+J65*$L$18</f>
        <v>0.0217577700476625</v>
      </c>
      <c r="M65" s="320" t="n">
        <f aca="false">+J65+K65+L65</f>
        <v>4.5256161699138</v>
      </c>
    </row>
    <row r="66" customFormat="false" ht="12.75" hidden="false" customHeight="false" outlineLevel="0" collapsed="false">
      <c r="A66" s="319" t="n">
        <v>48</v>
      </c>
      <c r="B66" s="207" t="n">
        <f aca="false">+B65+E66</f>
        <v>46169.3358629398</v>
      </c>
      <c r="C66" s="323" t="n">
        <f aca="false">+$D$11-D66</f>
        <v>122.006944212984</v>
      </c>
      <c r="D66" s="323" t="n">
        <f aca="false">+H65*$B$9/360*E66</f>
        <v>65.3931718423067</v>
      </c>
      <c r="E66" s="208" t="n">
        <v>30</v>
      </c>
      <c r="F66" s="323" t="n">
        <f aca="false">+C66+D66</f>
        <v>187.400116055291</v>
      </c>
      <c r="G66" s="324" t="n">
        <f aca="false">+F66+M66</f>
        <v>191.83041002879</v>
      </c>
      <c r="H66" s="320" t="n">
        <f aca="false">+H65-C66</f>
        <v>5483.12207084187</v>
      </c>
      <c r="J66" s="325" t="n">
        <f aca="false">+H65*$J$18</f>
        <v>4.25989805144169</v>
      </c>
      <c r="K66" s="323" t="n">
        <f aca="false">+J66*$K$18</f>
        <v>0.149096431800459</v>
      </c>
      <c r="L66" s="323" t="n">
        <f aca="false">+J66*$L$18</f>
        <v>0.0212994902572085</v>
      </c>
      <c r="M66" s="320" t="n">
        <f aca="false">+J66+K66+L66</f>
        <v>4.43029397349936</v>
      </c>
    </row>
    <row r="67" customFormat="false" ht="12.75" hidden="false" customHeight="false" outlineLevel="0" collapsed="false">
      <c r="A67" s="319" t="n">
        <v>49</v>
      </c>
      <c r="B67" s="207" t="n">
        <f aca="true">NOW()</f>
        <v>46079.3358629398</v>
      </c>
      <c r="C67" s="323" t="n">
        <f aca="false">+$D$11-D67</f>
        <v>123.430358562136</v>
      </c>
      <c r="D67" s="323" t="n">
        <f aca="false">+H66*$B$9/360*E67</f>
        <v>63.9697574931552</v>
      </c>
      <c r="E67" s="208" t="n">
        <v>30</v>
      </c>
      <c r="F67" s="323" t="n">
        <f aca="false">+C67+D67</f>
        <v>187.400116055291</v>
      </c>
      <c r="G67" s="324" t="n">
        <f aca="false">+F67+M67</f>
        <v>191.733975740084</v>
      </c>
      <c r="H67" s="320" t="n">
        <f aca="false">+H66-C67</f>
        <v>5359.69171227974</v>
      </c>
      <c r="J67" s="325" t="n">
        <f aca="false">+H66*$J$18</f>
        <v>4.16717277383982</v>
      </c>
      <c r="K67" s="323" t="n">
        <f aca="false">+J67*$K$18</f>
        <v>0.145851047084394</v>
      </c>
      <c r="L67" s="323" t="n">
        <f aca="false">+J67*$L$18</f>
        <v>0.0208358638691991</v>
      </c>
      <c r="M67" s="320" t="n">
        <f aca="false">+J67+K67+L67</f>
        <v>4.33385968479342</v>
      </c>
    </row>
    <row r="68" customFormat="false" ht="12.75" hidden="false" customHeight="false" outlineLevel="0" collapsed="false">
      <c r="A68" s="319" t="n">
        <v>50</v>
      </c>
      <c r="B68" s="207" t="n">
        <f aca="true">NOW()</f>
        <v>46079.3358629398</v>
      </c>
      <c r="C68" s="323" t="n">
        <f aca="false">+$D$11-D68</f>
        <v>124.870379412027</v>
      </c>
      <c r="D68" s="323" t="n">
        <f aca="false">+H67*$B$9/360*E68</f>
        <v>62.5297366432636</v>
      </c>
      <c r="E68" s="208" t="n">
        <v>30</v>
      </c>
      <c r="F68" s="323" t="n">
        <f aca="false">+C68+D68</f>
        <v>187.400116055291</v>
      </c>
      <c r="G68" s="324" t="n">
        <f aca="false">+F68+M68</f>
        <v>191.636416384677</v>
      </c>
      <c r="H68" s="320" t="n">
        <f aca="false">+H67-C68</f>
        <v>5234.82133286771</v>
      </c>
      <c r="J68" s="325" t="n">
        <f aca="false">+H67*$J$18</f>
        <v>4.0733657013326</v>
      </c>
      <c r="K68" s="323" t="n">
        <f aca="false">+J68*$K$18</f>
        <v>0.142567799546641</v>
      </c>
      <c r="L68" s="323" t="n">
        <f aca="false">+J68*$L$18</f>
        <v>0.020366828506663</v>
      </c>
      <c r="M68" s="320" t="n">
        <f aca="false">+J68+K68+L68</f>
        <v>4.2363003293859</v>
      </c>
    </row>
    <row r="69" customFormat="false" ht="12.75" hidden="false" customHeight="false" outlineLevel="0" collapsed="false">
      <c r="A69" s="319" t="n">
        <v>51</v>
      </c>
      <c r="B69" s="207" t="n">
        <f aca="false">+B68+E69</f>
        <v>46109.3358629398</v>
      </c>
      <c r="C69" s="323" t="n">
        <f aca="false">+$D$11-D69</f>
        <v>126.327200505168</v>
      </c>
      <c r="D69" s="323" t="n">
        <f aca="false">+H68*$B$9/360*E69</f>
        <v>61.0729155501233</v>
      </c>
      <c r="E69" s="208" t="n">
        <v>30</v>
      </c>
      <c r="F69" s="323" t="n">
        <f aca="false">+C69+D69</f>
        <v>187.400116055291</v>
      </c>
      <c r="G69" s="324" t="n">
        <f aca="false">+F69+M69</f>
        <v>191.53771883679</v>
      </c>
      <c r="H69" s="320" t="n">
        <f aca="false">+H68-C69</f>
        <v>5108.49413236254</v>
      </c>
      <c r="J69" s="325" t="n">
        <f aca="false">+H68*$J$18</f>
        <v>3.97846421297946</v>
      </c>
      <c r="K69" s="323" t="n">
        <f aca="false">+J69*$K$18</f>
        <v>0.139246247454281</v>
      </c>
      <c r="L69" s="323" t="n">
        <f aca="false">+J69*$L$18</f>
        <v>0.0198923210648973</v>
      </c>
      <c r="M69" s="320" t="n">
        <f aca="false">+J69+K69+L69</f>
        <v>4.13760278149864</v>
      </c>
    </row>
    <row r="70" customFormat="false" ht="12.75" hidden="false" customHeight="false" outlineLevel="0" collapsed="false">
      <c r="A70" s="319" t="n">
        <v>52</v>
      </c>
      <c r="B70" s="207" t="n">
        <f aca="false">+B69+E70</f>
        <v>46139.3358629398</v>
      </c>
      <c r="C70" s="323" t="n">
        <f aca="false">+$D$11-D70</f>
        <v>127.801017844395</v>
      </c>
      <c r="D70" s="323" t="n">
        <f aca="false">+H69*$B$9/360*E70</f>
        <v>59.5990982108963</v>
      </c>
      <c r="E70" s="208" t="n">
        <v>30</v>
      </c>
      <c r="F70" s="323" t="n">
        <f aca="false">+C70+D70</f>
        <v>187.400116055291</v>
      </c>
      <c r="G70" s="324" t="n">
        <f aca="false">+F70+M70</f>
        <v>191.43786981751</v>
      </c>
      <c r="H70" s="320" t="n">
        <f aca="false">+H69-C70</f>
        <v>4980.69311451815</v>
      </c>
      <c r="J70" s="325" t="n">
        <f aca="false">+H69*$J$18</f>
        <v>3.88245554059553</v>
      </c>
      <c r="K70" s="323" t="n">
        <f aca="false">+J70*$K$18</f>
        <v>0.135885943920844</v>
      </c>
      <c r="L70" s="323" t="n">
        <f aca="false">+J70*$L$18</f>
        <v>0.0194122777029777</v>
      </c>
      <c r="M70" s="320" t="n">
        <f aca="false">+J70+K70+L70</f>
        <v>4.03775376221935</v>
      </c>
    </row>
    <row r="71" customFormat="false" ht="12.75" hidden="false" customHeight="false" outlineLevel="0" collapsed="false">
      <c r="A71" s="319" t="n">
        <v>53</v>
      </c>
      <c r="B71" s="207" t="n">
        <f aca="false">+B70+E71</f>
        <v>46169.3358629398</v>
      </c>
      <c r="C71" s="323" t="n">
        <f aca="false">+$D$11-D71</f>
        <v>129.292029719246</v>
      </c>
      <c r="D71" s="323" t="n">
        <f aca="false">+H70*$B$9/360*E71</f>
        <v>58.1080863360451</v>
      </c>
      <c r="E71" s="208" t="n">
        <v>30</v>
      </c>
      <c r="F71" s="323" t="n">
        <f aca="false">+C71+D71</f>
        <v>187.400116055291</v>
      </c>
      <c r="G71" s="324" t="n">
        <f aca="false">+F71+M71</f>
        <v>191.336855893006</v>
      </c>
      <c r="H71" s="320" t="n">
        <f aca="false">+H70-C71</f>
        <v>4851.4010847989</v>
      </c>
      <c r="J71" s="325" t="n">
        <f aca="false">+H70*$J$18</f>
        <v>3.78532676703379</v>
      </c>
      <c r="K71" s="323" t="n">
        <f aca="false">+J71*$K$18</f>
        <v>0.132486436846183</v>
      </c>
      <c r="L71" s="323" t="n">
        <f aca="false">+J71*$L$18</f>
        <v>0.018926633835169</v>
      </c>
      <c r="M71" s="320" t="n">
        <f aca="false">+J71+K71+L71</f>
        <v>3.93673983771514</v>
      </c>
    </row>
    <row r="72" customFormat="false" ht="12.75" hidden="false" customHeight="false" outlineLevel="0" collapsed="false">
      <c r="A72" s="319" t="n">
        <v>54</v>
      </c>
      <c r="B72" s="207" t="n">
        <f aca="true">NOW()</f>
        <v>46079.3358629398</v>
      </c>
      <c r="C72" s="323" t="n">
        <f aca="false">+$D$11-D72</f>
        <v>130.800436732637</v>
      </c>
      <c r="D72" s="323" t="n">
        <f aca="false">+H71*$B$9/360*E72</f>
        <v>56.5996793226539</v>
      </c>
      <c r="E72" s="208" t="n">
        <v>30</v>
      </c>
      <c r="F72" s="323" t="n">
        <f aca="false">+C72+D72</f>
        <v>187.400116055291</v>
      </c>
      <c r="G72" s="324" t="n">
        <f aca="false">+F72+M72</f>
        <v>191.234663472716</v>
      </c>
      <c r="H72" s="320" t="n">
        <f aca="false">+H71-C72</f>
        <v>4720.60064806626</v>
      </c>
      <c r="J72" s="325" t="n">
        <f aca="false">+H71*$J$18</f>
        <v>3.68706482444717</v>
      </c>
      <c r="K72" s="323" t="n">
        <f aca="false">+J72*$K$18</f>
        <v>0.129047268855651</v>
      </c>
      <c r="L72" s="323" t="n">
        <f aca="false">+J72*$L$18</f>
        <v>0.0184353241222358</v>
      </c>
      <c r="M72" s="320" t="n">
        <f aca="false">+J72+K72+L72</f>
        <v>3.83454741742505</v>
      </c>
    </row>
    <row r="73" customFormat="false" ht="12.75" hidden="false" customHeight="false" outlineLevel="0" collapsed="false">
      <c r="A73" s="319" t="n">
        <v>55</v>
      </c>
      <c r="B73" s="207" t="n">
        <f aca="false">+B72+E73</f>
        <v>46109.3358629398</v>
      </c>
      <c r="C73" s="323" t="n">
        <f aca="false">+$D$11-D73</f>
        <v>132.326441827851</v>
      </c>
      <c r="D73" s="323" t="n">
        <f aca="false">+H72*$B$9/360*E73</f>
        <v>55.0736742274398</v>
      </c>
      <c r="E73" s="208" t="n">
        <v>30</v>
      </c>
      <c r="F73" s="323" t="n">
        <f aca="false">+C73+D73</f>
        <v>187.400116055291</v>
      </c>
      <c r="G73" s="324" t="n">
        <f aca="false">+F73+M73</f>
        <v>191.131278807522</v>
      </c>
      <c r="H73" s="320" t="n">
        <f aca="false">+H72-C73</f>
        <v>4588.27420623841</v>
      </c>
      <c r="J73" s="325" t="n">
        <f aca="false">+H72*$J$18</f>
        <v>3.58765649253036</v>
      </c>
      <c r="K73" s="323" t="n">
        <f aca="false">+J73*$K$18</f>
        <v>0.125567977238563</v>
      </c>
      <c r="L73" s="323" t="n">
        <f aca="false">+J73*$L$18</f>
        <v>0.0179382824626518</v>
      </c>
      <c r="M73" s="320" t="n">
        <f aca="false">+J73+K73+L73</f>
        <v>3.73116275223158</v>
      </c>
    </row>
    <row r="74" customFormat="false" ht="12.75" hidden="false" customHeight="false" outlineLevel="0" collapsed="false">
      <c r="A74" s="319" t="n">
        <v>56</v>
      </c>
      <c r="B74" s="207" t="n">
        <f aca="false">+B73+E74</f>
        <v>46139.3358629398</v>
      </c>
      <c r="C74" s="323" t="n">
        <f aca="false">+$D$11-D74</f>
        <v>133.870250315843</v>
      </c>
      <c r="D74" s="323" t="n">
        <f aca="false">+H73*$B$9/360*E74</f>
        <v>53.5298657394482</v>
      </c>
      <c r="E74" s="208" t="n">
        <v>30</v>
      </c>
      <c r="F74" s="323" t="n">
        <f aca="false">+C74+D74</f>
        <v>187.400116055291</v>
      </c>
      <c r="G74" s="324" t="n">
        <f aca="false">+F74+M74</f>
        <v>191.026687987902</v>
      </c>
      <c r="H74" s="320" t="n">
        <f aca="false">+H73-C74</f>
        <v>4454.40395592257</v>
      </c>
      <c r="J74" s="325" t="n">
        <f aca="false">+H73*$J$18</f>
        <v>3.48708839674119</v>
      </c>
      <c r="K74" s="323" t="n">
        <f aca="false">+J74*$K$18</f>
        <v>0.122048093885942</v>
      </c>
      <c r="L74" s="323" t="n">
        <f aca="false">+J74*$L$18</f>
        <v>0.017435441983706</v>
      </c>
      <c r="M74" s="320" t="n">
        <f aca="false">+J74+K74+L74</f>
        <v>3.62657193261084</v>
      </c>
    </row>
    <row r="75" customFormat="false" ht="12.75" hidden="false" customHeight="false" outlineLevel="0" collapsed="false">
      <c r="A75" s="319" t="n">
        <v>57</v>
      </c>
      <c r="B75" s="207" t="n">
        <f aca="false">+B74+E75</f>
        <v>46169.3358629398</v>
      </c>
      <c r="C75" s="323" t="n">
        <f aca="false">+$D$11-D75</f>
        <v>135.432069902861</v>
      </c>
      <c r="D75" s="323" t="n">
        <f aca="false">+H74*$B$9/360*E75</f>
        <v>51.96804615243</v>
      </c>
      <c r="E75" s="208" t="n">
        <v>30</v>
      </c>
      <c r="F75" s="323" t="n">
        <f aca="false">+C75+D75</f>
        <v>187.400116055291</v>
      </c>
      <c r="G75" s="324" t="n">
        <f aca="false">+F75+M75</f>
        <v>190.920876942052</v>
      </c>
      <c r="H75" s="320" t="n">
        <f aca="false">+H74-C75</f>
        <v>4318.97188601971</v>
      </c>
      <c r="J75" s="325" t="n">
        <f aca="false">+H74*$J$18</f>
        <v>3.38534700650115</v>
      </c>
      <c r="K75" s="323" t="n">
        <f aca="false">+J75*$K$18</f>
        <v>0.11848714522754</v>
      </c>
      <c r="L75" s="323" t="n">
        <f aca="false">+J75*$L$18</f>
        <v>0.0169267350325058</v>
      </c>
      <c r="M75" s="320" t="n">
        <f aca="false">+J75+K75+L75</f>
        <v>3.5207608867612</v>
      </c>
    </row>
    <row r="76" customFormat="false" ht="12.75" hidden="false" customHeight="false" outlineLevel="0" collapsed="false">
      <c r="A76" s="319" t="n">
        <v>58</v>
      </c>
      <c r="B76" s="207" t="n">
        <f aca="true">NOW()</f>
        <v>46079.3358629398</v>
      </c>
      <c r="C76" s="323" t="n">
        <f aca="false">+$D$11-D76</f>
        <v>137.012110718394</v>
      </c>
      <c r="D76" s="323" t="n">
        <f aca="false">+H75*$B$9/360*E76</f>
        <v>50.3880053368966</v>
      </c>
      <c r="E76" s="208" t="n">
        <v>30</v>
      </c>
      <c r="F76" s="323" t="n">
        <f aca="false">+C76+D76</f>
        <v>187.400116055291</v>
      </c>
      <c r="G76" s="324" t="n">
        <f aca="false">+F76+M76</f>
        <v>190.813831434001</v>
      </c>
      <c r="H76" s="320" t="n">
        <f aca="false">+H75-C76</f>
        <v>4181.95977530132</v>
      </c>
      <c r="J76" s="325" t="n">
        <f aca="false">+H75*$J$18</f>
        <v>3.28241863337498</v>
      </c>
      <c r="K76" s="323" t="n">
        <f aca="false">+J76*$K$18</f>
        <v>0.114884652168124</v>
      </c>
      <c r="L76" s="323" t="n">
        <f aca="false">+J76*$L$18</f>
        <v>0.0164120931668749</v>
      </c>
      <c r="M76" s="320" t="n">
        <f aca="false">+J76+K76+L76</f>
        <v>3.41371537870998</v>
      </c>
    </row>
    <row r="77" customFormat="false" ht="12.75" hidden="false" customHeight="false" outlineLevel="0" collapsed="false">
      <c r="A77" s="319" t="n">
        <v>59</v>
      </c>
      <c r="B77" s="207" t="n">
        <f aca="false">+B76+E77</f>
        <v>46109.3358629398</v>
      </c>
      <c r="C77" s="323" t="n">
        <f aca="false">+$D$11-D77</f>
        <v>138.610585343442</v>
      </c>
      <c r="D77" s="323" t="n">
        <f aca="false">+H76*$B$9/360*E77</f>
        <v>48.7895307118487</v>
      </c>
      <c r="E77" s="208" t="n">
        <v>30</v>
      </c>
      <c r="F77" s="323" t="n">
        <f aca="false">+C77+D77</f>
        <v>187.400116055291</v>
      </c>
      <c r="G77" s="324" t="n">
        <f aca="false">+F77+M77</f>
        <v>190.705537061689</v>
      </c>
      <c r="H77" s="320" t="n">
        <f aca="false">+H76-C77</f>
        <v>4043.34918995787</v>
      </c>
      <c r="J77" s="325" t="n">
        <f aca="false">+H76*$J$18</f>
        <v>3.178289429229</v>
      </c>
      <c r="K77" s="323" t="n">
        <f aca="false">+J77*$K$18</f>
        <v>0.111240130023015</v>
      </c>
      <c r="L77" s="323" t="n">
        <f aca="false">+J77*$L$18</f>
        <v>0.015891447146145</v>
      </c>
      <c r="M77" s="320" t="n">
        <f aca="false">+J77+K77+L77</f>
        <v>3.30542100639816</v>
      </c>
    </row>
    <row r="78" customFormat="false" ht="12.75" hidden="false" customHeight="false" outlineLevel="0" collapsed="false">
      <c r="A78" s="319" t="n">
        <v>60</v>
      </c>
      <c r="B78" s="207" t="n">
        <f aca="false">+B77+E78</f>
        <v>46139.3358629398</v>
      </c>
      <c r="C78" s="323" t="n">
        <f aca="false">+$D$11-D78</f>
        <v>140.227708839116</v>
      </c>
      <c r="D78" s="323" t="n">
        <f aca="false">+H77*$B$9/360*E78</f>
        <v>47.1724072161752</v>
      </c>
      <c r="E78" s="208" t="n">
        <v>30</v>
      </c>
      <c r="F78" s="323" t="n">
        <f aca="false">+C78+D78</f>
        <v>187.400116055291</v>
      </c>
      <c r="G78" s="324" t="n">
        <f aca="false">+F78+M78</f>
        <v>190.595979255034</v>
      </c>
      <c r="H78" s="320" t="n">
        <f aca="false">+H77-C78</f>
        <v>3903.12148111876</v>
      </c>
      <c r="J78" s="325" t="n">
        <f aca="false">+H77*$J$18</f>
        <v>3.07294538436798</v>
      </c>
      <c r="K78" s="323" t="n">
        <f aca="false">+J78*$K$18</f>
        <v>0.107553088452879</v>
      </c>
      <c r="L78" s="323" t="n">
        <f aca="false">+J78*$L$18</f>
        <v>0.0153647269218399</v>
      </c>
      <c r="M78" s="320" t="n">
        <f aca="false">+J78+K78+L78</f>
        <v>3.1958631997427</v>
      </c>
    </row>
    <row r="79" customFormat="false" ht="12.75" hidden="false" customHeight="false" outlineLevel="0" collapsed="false">
      <c r="A79" s="319" t="n">
        <v>61</v>
      </c>
      <c r="B79" s="207" t="n">
        <f aca="false">+B78+E79</f>
        <v>46169.3358629398</v>
      </c>
      <c r="C79" s="323" t="n">
        <f aca="false">+$D$11-D79</f>
        <v>141.863698775572</v>
      </c>
      <c r="D79" s="323" t="n">
        <f aca="false">+H78*$B$9/360*E79</f>
        <v>45.5364172797188</v>
      </c>
      <c r="E79" s="208" t="n">
        <v>30</v>
      </c>
      <c r="F79" s="323" t="n">
        <f aca="false">+C79+D79</f>
        <v>187.400116055291</v>
      </c>
      <c r="G79" s="324" t="n">
        <f aca="false">+F79+M79</f>
        <v>190.485143273967</v>
      </c>
      <c r="H79" s="320" t="n">
        <f aca="false">+H78-C79</f>
        <v>3761.25778234318</v>
      </c>
      <c r="J79" s="325" t="n">
        <f aca="false">+H78*$J$18</f>
        <v>2.96637232565026</v>
      </c>
      <c r="K79" s="323" t="n">
        <f aca="false">+J79*$K$18</f>
        <v>0.103823031397759</v>
      </c>
      <c r="L79" s="323" t="n">
        <f aca="false">+J79*$L$18</f>
        <v>0.0148318616282513</v>
      </c>
      <c r="M79" s="320" t="n">
        <f aca="false">+J79+K79+L79</f>
        <v>3.08502721867627</v>
      </c>
    </row>
    <row r="80" customFormat="false" ht="12.75" hidden="false" customHeight="false" outlineLevel="0" collapsed="false">
      <c r="A80" s="319" t="n">
        <v>62</v>
      </c>
      <c r="B80" s="207" t="n">
        <f aca="true">NOW()</f>
        <v>46079.3358629398</v>
      </c>
      <c r="C80" s="323" t="n">
        <f aca="false">+$D$11-D80</f>
        <v>143.518775261287</v>
      </c>
      <c r="D80" s="323" t="n">
        <f aca="false">+H79*$B$9/360*E80</f>
        <v>43.8813407940038</v>
      </c>
      <c r="E80" s="208" t="n">
        <v>30</v>
      </c>
      <c r="F80" s="323" t="n">
        <f aca="false">+C80+D80</f>
        <v>187.400116055291</v>
      </c>
      <c r="G80" s="324" t="n">
        <f aca="false">+F80+M80</f>
        <v>190.373014206455</v>
      </c>
      <c r="H80" s="320" t="n">
        <f aca="false">+H79-C80</f>
        <v>3617.7390070819</v>
      </c>
      <c r="J80" s="325" t="n">
        <f aca="false">+H79*$J$18</f>
        <v>2.85855591458082</v>
      </c>
      <c r="K80" s="323" t="n">
        <f aca="false">+J80*$K$18</f>
        <v>0.100049457010329</v>
      </c>
      <c r="L80" s="323" t="n">
        <f aca="false">+J80*$L$18</f>
        <v>0.0142927795729041</v>
      </c>
      <c r="M80" s="320" t="n">
        <f aca="false">+J80+K80+L80</f>
        <v>2.97289815116405</v>
      </c>
    </row>
    <row r="81" customFormat="false" ht="12.75" hidden="false" customHeight="false" outlineLevel="0" collapsed="false">
      <c r="A81" s="319" t="n">
        <v>63</v>
      </c>
      <c r="B81" s="207" t="n">
        <f aca="false">+B80+E81</f>
        <v>46109.3358629398</v>
      </c>
      <c r="C81" s="323" t="n">
        <f aca="false">+$D$11-D81</f>
        <v>145.193160972669</v>
      </c>
      <c r="D81" s="323" t="n">
        <f aca="false">+H80*$B$9/360*E81</f>
        <v>42.2069550826221</v>
      </c>
      <c r="E81" s="208" t="n">
        <v>30</v>
      </c>
      <c r="F81" s="323" t="n">
        <f aca="false">+C81+D81</f>
        <v>187.400116055291</v>
      </c>
      <c r="G81" s="324" t="n">
        <f aca="false">+F81+M81</f>
        <v>190.259576966488</v>
      </c>
      <c r="H81" s="320" t="n">
        <f aca="false">+H80-C81</f>
        <v>3472.54584610923</v>
      </c>
      <c r="J81" s="325" t="n">
        <f aca="false">+H80*$J$18</f>
        <v>2.74948164538224</v>
      </c>
      <c r="K81" s="323" t="n">
        <f aca="false">+J81*$K$18</f>
        <v>0.0962318575883785</v>
      </c>
      <c r="L81" s="323" t="n">
        <f aca="false">+J81*$L$18</f>
        <v>0.0137474082269112</v>
      </c>
      <c r="M81" s="320" t="n">
        <f aca="false">+J81+K81+L81</f>
        <v>2.85946091119753</v>
      </c>
    </row>
    <row r="82" customFormat="false" ht="12.75" hidden="false" customHeight="false" outlineLevel="0" collapsed="false">
      <c r="A82" s="319" t="n">
        <v>64</v>
      </c>
      <c r="B82" s="207" t="n">
        <f aca="false">+B81+E82</f>
        <v>46139.3358629398</v>
      </c>
      <c r="C82" s="323" t="n">
        <f aca="false">+$D$11-D82</f>
        <v>146.887081184017</v>
      </c>
      <c r="D82" s="323" t="n">
        <f aca="false">+H81*$B$9/360*E82</f>
        <v>40.5130348712743</v>
      </c>
      <c r="E82" s="208" t="n">
        <v>30</v>
      </c>
      <c r="F82" s="323" t="n">
        <f aca="false">+C82+D82</f>
        <v>187.400116055291</v>
      </c>
      <c r="G82" s="324" t="n">
        <f aca="false">+F82+M82</f>
        <v>190.144816292056</v>
      </c>
      <c r="H82" s="320" t="n">
        <f aca="false">+H81-C82</f>
        <v>3325.65876492521</v>
      </c>
      <c r="J82" s="325" t="n">
        <f aca="false">+H81*$J$18</f>
        <v>2.63913484304301</v>
      </c>
      <c r="K82" s="323" t="n">
        <f aca="false">+J82*$K$18</f>
        <v>0.0923697195065055</v>
      </c>
      <c r="L82" s="323" t="n">
        <f aca="false">+J82*$L$18</f>
        <v>0.0131956742152151</v>
      </c>
      <c r="M82" s="320" t="n">
        <f aca="false">+J82+K82+L82</f>
        <v>2.74470023676474</v>
      </c>
    </row>
    <row r="83" customFormat="false" ht="12.75" hidden="false" customHeight="false" outlineLevel="0" collapsed="false">
      <c r="A83" s="319" t="n">
        <v>65</v>
      </c>
      <c r="B83" s="207" t="n">
        <f aca="false">+B82+E83</f>
        <v>46169.3358629398</v>
      </c>
      <c r="C83" s="323" t="n">
        <f aca="false">+$D$11-D83</f>
        <v>148.60076379783</v>
      </c>
      <c r="D83" s="323" t="n">
        <f aca="false">+H82*$B$9/360*E83</f>
        <v>38.7993522574608</v>
      </c>
      <c r="E83" s="208" t="n">
        <v>30</v>
      </c>
      <c r="F83" s="323" t="n">
        <f aca="false">+C83+D83</f>
        <v>187.400116055291</v>
      </c>
      <c r="G83" s="324" t="n">
        <f aca="false">+F83+M83</f>
        <v>190.028716743088</v>
      </c>
      <c r="H83" s="320" t="n">
        <f aca="false">+H82-C83</f>
        <v>3177.05800112738</v>
      </c>
      <c r="J83" s="325" t="n">
        <f aca="false">+H82*$J$18</f>
        <v>2.52750066134316</v>
      </c>
      <c r="K83" s="323" t="n">
        <f aca="false">+J83*$K$18</f>
        <v>0.0884625231470107</v>
      </c>
      <c r="L83" s="323" t="n">
        <f aca="false">+J83*$L$18</f>
        <v>0.0126375033067158</v>
      </c>
      <c r="M83" s="320" t="n">
        <f aca="false">+J83+K83+L83</f>
        <v>2.62860068779689</v>
      </c>
    </row>
    <row r="84" customFormat="false" ht="12.75" hidden="false" customHeight="false" outlineLevel="0" collapsed="false">
      <c r="A84" s="319" t="n">
        <v>66</v>
      </c>
      <c r="B84" s="207" t="n">
        <f aca="true">NOW()</f>
        <v>46079.3358629398</v>
      </c>
      <c r="C84" s="323" t="n">
        <f aca="false">+$D$11-D84</f>
        <v>150.334439375471</v>
      </c>
      <c r="D84" s="323" t="n">
        <f aca="false">+H83*$B$9/360*E84</f>
        <v>37.0656766798195</v>
      </c>
      <c r="E84" s="208" t="n">
        <v>30</v>
      </c>
      <c r="F84" s="323" t="n">
        <f aca="false">+C84+D84</f>
        <v>187.400116055291</v>
      </c>
      <c r="G84" s="324" t="n">
        <f aca="false">+F84+M84</f>
        <v>189.911262699382</v>
      </c>
      <c r="H84" s="320" t="n">
        <f aca="false">+H83-C84</f>
        <v>3026.72356175191</v>
      </c>
      <c r="J84" s="325" t="n">
        <f aca="false">+H83*$J$18</f>
        <v>2.41456408085681</v>
      </c>
      <c r="K84" s="323" t="n">
        <f aca="false">+J84*$K$18</f>
        <v>0.0845097428299884</v>
      </c>
      <c r="L84" s="323" t="n">
        <f aca="false">+J84*$L$18</f>
        <v>0.0120728204042841</v>
      </c>
      <c r="M84" s="320" t="n">
        <f aca="false">+J84+K84+L84</f>
        <v>2.51114664409108</v>
      </c>
    </row>
    <row r="85" customFormat="false" ht="12.75" hidden="false" customHeight="false" outlineLevel="0" collapsed="false">
      <c r="A85" s="319" t="n">
        <v>67</v>
      </c>
      <c r="B85" s="207" t="n">
        <f aca="false">+B84+E85</f>
        <v>46109.3358629398</v>
      </c>
      <c r="C85" s="323" t="n">
        <f aca="false">+$D$11-D85</f>
        <v>152.088341168185</v>
      </c>
      <c r="D85" s="323" t="n">
        <f aca="false">+H84*$B$9/360*E85</f>
        <v>35.3117748871056</v>
      </c>
      <c r="E85" s="208" t="n">
        <v>30</v>
      </c>
      <c r="F85" s="323" t="n">
        <f aca="false">+C85+D85</f>
        <v>187.400116055291</v>
      </c>
      <c r="G85" s="324" t="n">
        <f aca="false">+F85+M85</f>
        <v>189.7924383585</v>
      </c>
      <c r="H85" s="320" t="n">
        <f aca="false">+H84-C85</f>
        <v>2874.63522058373</v>
      </c>
      <c r="J85" s="325" t="n">
        <f aca="false">+H84*$J$18</f>
        <v>2.30030990693145</v>
      </c>
      <c r="K85" s="323" t="n">
        <f aca="false">+J85*$K$18</f>
        <v>0.0805108467426009</v>
      </c>
      <c r="L85" s="323" t="n">
        <f aca="false">+J85*$L$18</f>
        <v>0.0115015495346573</v>
      </c>
      <c r="M85" s="320" t="n">
        <f aca="false">+J85+K85+L85</f>
        <v>2.39232230320871</v>
      </c>
    </row>
    <row r="86" customFormat="false" ht="12.75" hidden="false" customHeight="false" outlineLevel="0" collapsed="false">
      <c r="A86" s="319" t="n">
        <v>68</v>
      </c>
      <c r="B86" s="207" t="n">
        <f aca="false">+B85+E86</f>
        <v>46139.3358629398</v>
      </c>
      <c r="C86" s="323" t="n">
        <f aca="false">+$D$11-D86</f>
        <v>153.862705148481</v>
      </c>
      <c r="D86" s="323" t="n">
        <f aca="false">+H85*$B$9/360*E86</f>
        <v>33.5374109068101</v>
      </c>
      <c r="E86" s="208" t="n">
        <v>30</v>
      </c>
      <c r="F86" s="323" t="n">
        <f aca="false">+C86+D86</f>
        <v>187.400116055291</v>
      </c>
      <c r="G86" s="324" t="n">
        <f aca="false">+F86+M86</f>
        <v>189.67222773364</v>
      </c>
      <c r="H86" s="320" t="n">
        <f aca="false">+H85-C86</f>
        <v>2720.77251543524</v>
      </c>
      <c r="J86" s="325" t="n">
        <f aca="false">+H85*$J$18</f>
        <v>2.18472276764363</v>
      </c>
      <c r="K86" s="323" t="n">
        <f aca="false">+J86*$K$18</f>
        <v>0.0764652968675271</v>
      </c>
      <c r="L86" s="323" t="n">
        <f aca="false">+J86*$L$18</f>
        <v>0.0109236138382182</v>
      </c>
      <c r="M86" s="320" t="n">
        <f aca="false">+J86+K86+L86</f>
        <v>2.27211167834938</v>
      </c>
    </row>
    <row r="87" customFormat="false" ht="12.75" hidden="false" customHeight="false" outlineLevel="0" collapsed="false">
      <c r="A87" s="319" t="n">
        <v>69</v>
      </c>
      <c r="B87" s="207" t="n">
        <f aca="false">+B86+E87</f>
        <v>46169.3358629398</v>
      </c>
      <c r="C87" s="323" t="n">
        <f aca="false">+$D$11-D87</f>
        <v>155.65777004188</v>
      </c>
      <c r="D87" s="323" t="n">
        <f aca="false">+H86*$B$9/360*E87</f>
        <v>31.7423460134112</v>
      </c>
      <c r="E87" s="208" t="n">
        <v>30</v>
      </c>
      <c r="F87" s="323" t="n">
        <f aca="false">+C87+D87</f>
        <v>187.400116055291</v>
      </c>
      <c r="G87" s="324" t="n">
        <f aca="false">+F87+M87</f>
        <v>189.550614651491</v>
      </c>
      <c r="H87" s="320" t="n">
        <f aca="false">+H86-C87</f>
        <v>2565.11474539337</v>
      </c>
      <c r="J87" s="325" t="n">
        <f aca="false">+H86*$J$18</f>
        <v>2.06778711173079</v>
      </c>
      <c r="K87" s="323" t="n">
        <f aca="false">+J87*$K$18</f>
        <v>0.0723725489105775</v>
      </c>
      <c r="L87" s="323" t="n">
        <f aca="false">+J87*$L$18</f>
        <v>0.0103389355586539</v>
      </c>
      <c r="M87" s="320" t="n">
        <f aca="false">+J87+K87+L87</f>
        <v>2.15049859620002</v>
      </c>
    </row>
    <row r="88" customFormat="false" ht="12.75" hidden="false" customHeight="false" outlineLevel="0" collapsed="false">
      <c r="A88" s="319" t="n">
        <v>70</v>
      </c>
      <c r="B88" s="207" t="n">
        <f aca="true">NOW()</f>
        <v>46079.3358629398</v>
      </c>
      <c r="C88" s="323" t="n">
        <f aca="false">+$D$11-D88</f>
        <v>157.473777359035</v>
      </c>
      <c r="D88" s="323" t="n">
        <f aca="false">+H87*$B$9/360*E88</f>
        <v>29.9263386962559</v>
      </c>
      <c r="E88" s="208" t="n">
        <v>30</v>
      </c>
      <c r="F88" s="323" t="n">
        <f aca="false">+C88+D88</f>
        <v>187.400116055291</v>
      </c>
      <c r="G88" s="324" t="n">
        <f aca="false">+F88+M88</f>
        <v>189.42758275005</v>
      </c>
      <c r="H88" s="320" t="n">
        <f aca="false">+H87-C88</f>
        <v>2407.64096803433</v>
      </c>
      <c r="J88" s="325" t="n">
        <f aca="false">+H87*$J$18</f>
        <v>1.94948720649896</v>
      </c>
      <c r="K88" s="323" t="n">
        <f aca="false">+J88*$K$18</f>
        <v>0.0682320522274635</v>
      </c>
      <c r="L88" s="323" t="n">
        <f aca="false">+J88*$L$18</f>
        <v>0.00974743603249479</v>
      </c>
      <c r="M88" s="320" t="n">
        <f aca="false">+J88+K88+L88</f>
        <v>2.02746669475892</v>
      </c>
    </row>
    <row r="89" customFormat="false" ht="12.75" hidden="false" customHeight="false" outlineLevel="0" collapsed="false">
      <c r="A89" s="319" t="n">
        <v>71</v>
      </c>
      <c r="B89" s="207" t="n">
        <f aca="false">+B88+E89</f>
        <v>46109.3358629398</v>
      </c>
      <c r="C89" s="323" t="n">
        <f aca="false">+$D$11-D89</f>
        <v>159.310971428224</v>
      </c>
      <c r="D89" s="323" t="n">
        <f aca="false">+H88*$B$9/360*E89</f>
        <v>28.0891446270672</v>
      </c>
      <c r="E89" s="208" t="n">
        <v>30</v>
      </c>
      <c r="F89" s="323" t="n">
        <f aca="false">+C89+D89</f>
        <v>187.400116055291</v>
      </c>
      <c r="G89" s="324" t="n">
        <f aca="false">+F89+M89</f>
        <v>189.303115476425</v>
      </c>
      <c r="H89" s="320" t="n">
        <f aca="false">+H88-C89</f>
        <v>2248.32999660611</v>
      </c>
      <c r="J89" s="325" t="n">
        <f aca="false">+H88*$J$18</f>
        <v>1.82980713570609</v>
      </c>
      <c r="K89" s="323" t="n">
        <f aca="false">+J89*$K$18</f>
        <v>0.0640432497497132</v>
      </c>
      <c r="L89" s="323" t="n">
        <f aca="false">+J89*$L$18</f>
        <v>0.00914903567853045</v>
      </c>
      <c r="M89" s="320" t="n">
        <f aca="false">+J89+K89+L89</f>
        <v>1.90299942113433</v>
      </c>
    </row>
    <row r="90" customFormat="false" ht="12.75" hidden="false" customHeight="false" outlineLevel="0" collapsed="false">
      <c r="A90" s="319" t="n">
        <v>72</v>
      </c>
      <c r="B90" s="207" t="n">
        <f aca="false">+B89+E90</f>
        <v>46139.3358629398</v>
      </c>
      <c r="C90" s="323" t="n">
        <f aca="false">+$D$11-D90</f>
        <v>161.16959942822</v>
      </c>
      <c r="D90" s="323" t="n">
        <f aca="false">+H89*$B$9/360*E90</f>
        <v>26.2305166270712</v>
      </c>
      <c r="E90" s="208" t="n">
        <v>30</v>
      </c>
      <c r="F90" s="323" t="n">
        <f aca="false">+C90+D90</f>
        <v>187.400116055291</v>
      </c>
      <c r="G90" s="324" t="n">
        <f aca="false">+F90+M90</f>
        <v>189.177196084608</v>
      </c>
      <c r="H90" s="320" t="n">
        <f aca="false">+H89-C90</f>
        <v>2087.16039717789</v>
      </c>
      <c r="J90" s="325" t="n">
        <f aca="false">+H89*$J$18</f>
        <v>1.70873079742064</v>
      </c>
      <c r="K90" s="323" t="n">
        <f aca="false">+J90*$K$18</f>
        <v>0.0598055779097224</v>
      </c>
      <c r="L90" s="323" t="n">
        <f aca="false">+J90*$L$18</f>
        <v>0.00854365398710321</v>
      </c>
      <c r="M90" s="320" t="n">
        <f aca="false">+J90+K90+L90</f>
        <v>1.77708002931747</v>
      </c>
    </row>
    <row r="91" customFormat="false" ht="12.75" hidden="false" customHeight="false" outlineLevel="0" collapsed="false">
      <c r="A91" s="319" t="n">
        <v>73</v>
      </c>
      <c r="B91" s="207" t="n">
        <f aca="false">+B90+E91</f>
        <v>46169.3358629398</v>
      </c>
      <c r="C91" s="323" t="n">
        <f aca="false">+$D$11-D91</f>
        <v>163.049911421549</v>
      </c>
      <c r="D91" s="323" t="n">
        <f aca="false">+H90*$B$9/360*E91</f>
        <v>24.350204633742</v>
      </c>
      <c r="E91" s="208" t="n">
        <v>30</v>
      </c>
      <c r="F91" s="323" t="n">
        <f aca="false">+C91+D91</f>
        <v>187.400116055291</v>
      </c>
      <c r="G91" s="324" t="n">
        <f aca="false">+F91+M91</f>
        <v>189.04980763322</v>
      </c>
      <c r="H91" s="320" t="n">
        <f aca="false">+H90-C91</f>
        <v>1924.11048575634</v>
      </c>
      <c r="J91" s="325" t="n">
        <f aca="false">+H90*$J$18</f>
        <v>1.58624190185519</v>
      </c>
      <c r="K91" s="323" t="n">
        <f aca="false">+J91*$K$18</f>
        <v>0.0555184665649318</v>
      </c>
      <c r="L91" s="323" t="n">
        <f aca="false">+J91*$L$18</f>
        <v>0.00793120950927597</v>
      </c>
      <c r="M91" s="320" t="n">
        <f aca="false">+J91+K91+L91</f>
        <v>1.6496915779294</v>
      </c>
    </row>
    <row r="92" customFormat="false" ht="12.75" hidden="false" customHeight="false" outlineLevel="0" collapsed="false">
      <c r="A92" s="319" t="n">
        <v>74</v>
      </c>
      <c r="B92" s="207" t="n">
        <f aca="true">NOW()</f>
        <v>46079.3358630093</v>
      </c>
      <c r="C92" s="323" t="n">
        <f aca="false">+$D$11-D92</f>
        <v>164.952160388134</v>
      </c>
      <c r="D92" s="323" t="n">
        <f aca="false">+H91*$B$9/360*E92</f>
        <v>22.4479556671573</v>
      </c>
      <c r="E92" s="208" t="n">
        <v>30</v>
      </c>
      <c r="F92" s="323" t="n">
        <f aca="false">+C92+D92</f>
        <v>187.400116055291</v>
      </c>
      <c r="G92" s="324" t="n">
        <f aca="false">+F92+M92</f>
        <v>188.920932983233</v>
      </c>
      <c r="H92" s="320" t="n">
        <f aca="false">+H91-C92</f>
        <v>1759.1583253682</v>
      </c>
      <c r="J92" s="325" t="n">
        <f aca="false">+H91*$J$18</f>
        <v>1.46232396917482</v>
      </c>
      <c r="K92" s="323" t="n">
        <f aca="false">+J92*$K$18</f>
        <v>0.0511813389211186</v>
      </c>
      <c r="L92" s="323" t="n">
        <f aca="false">+J92*$L$18</f>
        <v>0.00731161984587408</v>
      </c>
      <c r="M92" s="320" t="n">
        <f aca="false">+J92+K92+L92</f>
        <v>1.52081692794181</v>
      </c>
    </row>
    <row r="93" customFormat="false" ht="12.75" hidden="false" customHeight="false" outlineLevel="0" collapsed="false">
      <c r="A93" s="319" t="n">
        <v>75</v>
      </c>
      <c r="B93" s="207" t="n">
        <f aca="true">NOW()</f>
        <v>46079.3358630093</v>
      </c>
      <c r="C93" s="323" t="n">
        <f aca="false">+$D$11-D93</f>
        <v>166.876602259328</v>
      </c>
      <c r="D93" s="323" t="n">
        <f aca="false">+H92*$B$9/360*E93</f>
        <v>20.5235137959624</v>
      </c>
      <c r="E93" s="208" t="n">
        <v>30</v>
      </c>
      <c r="F93" s="323" t="n">
        <f aca="false">+C93+D93</f>
        <v>187.400116055291</v>
      </c>
      <c r="G93" s="324" t="n">
        <f aca="false">+F93+M93</f>
        <v>188.790554795662</v>
      </c>
      <c r="H93" s="320" t="n">
        <f aca="false">+H92-C93</f>
        <v>1592.28172310888</v>
      </c>
      <c r="J93" s="325" t="n">
        <f aca="false">+H92*$J$18</f>
        <v>1.33696032727984</v>
      </c>
      <c r="K93" s="323" t="n">
        <f aca="false">+J93*$K$18</f>
        <v>0.0467936114547942</v>
      </c>
      <c r="L93" s="323" t="n">
        <f aca="false">+J93*$L$18</f>
        <v>0.00668480163639918</v>
      </c>
      <c r="M93" s="320" t="n">
        <f aca="false">+J93+K93+L93</f>
        <v>1.39043874037103</v>
      </c>
    </row>
    <row r="94" customFormat="false" ht="12.75" hidden="false" customHeight="false" outlineLevel="0" collapsed="false">
      <c r="A94" s="319" t="n">
        <v>76</v>
      </c>
      <c r="B94" s="207" t="n">
        <f aca="false">+B93+E94</f>
        <v>46109.3358630093</v>
      </c>
      <c r="C94" s="323" t="n">
        <f aca="false">+$D$11-D94</f>
        <v>168.823495952354</v>
      </c>
      <c r="D94" s="323" t="n">
        <f aca="false">+H93*$B$9/360*E94</f>
        <v>18.5766201029369</v>
      </c>
      <c r="E94" s="208" t="n">
        <v>30</v>
      </c>
      <c r="F94" s="323" t="n">
        <f aca="false">+C94+D94</f>
        <v>187.400116055291</v>
      </c>
      <c r="G94" s="324" t="n">
        <f aca="false">+F94+M94</f>
        <v>188.658655529236</v>
      </c>
      <c r="H94" s="320" t="n">
        <f aca="false">+H93-C94</f>
        <v>1423.45822715652</v>
      </c>
      <c r="J94" s="325" t="n">
        <f aca="false">+H93*$J$18</f>
        <v>1.21013410956275</v>
      </c>
      <c r="K94" s="323" t="n">
        <f aca="false">+J94*$K$18</f>
        <v>0.0423546938346961</v>
      </c>
      <c r="L94" s="323" t="n">
        <f aca="false">+J94*$L$18</f>
        <v>0.00605067054781373</v>
      </c>
      <c r="M94" s="320" t="n">
        <f aca="false">+J94+K94+L94</f>
        <v>1.25853947394526</v>
      </c>
    </row>
    <row r="95" customFormat="false" ht="12.75" hidden="false" customHeight="false" outlineLevel="0" collapsed="false">
      <c r="A95" s="319" t="n">
        <v>77</v>
      </c>
      <c r="B95" s="207" t="n">
        <f aca="false">+B94+E95</f>
        <v>46139.3358630093</v>
      </c>
      <c r="C95" s="323" t="n">
        <f aca="false">+$D$11-D95</f>
        <v>170.793103405131</v>
      </c>
      <c r="D95" s="323" t="n">
        <f aca="false">+H94*$B$9/360*E95</f>
        <v>16.6070126501594</v>
      </c>
      <c r="E95" s="208" t="n">
        <v>30</v>
      </c>
      <c r="F95" s="323" t="n">
        <f aca="false">+C95+D95</f>
        <v>187.400116055291</v>
      </c>
      <c r="G95" s="324" t="n">
        <f aca="false">+F95+M95</f>
        <v>188.525217438035</v>
      </c>
      <c r="H95" s="320" t="n">
        <f aca="false">+H94-C95</f>
        <v>1252.66512375139</v>
      </c>
      <c r="J95" s="325" t="n">
        <f aca="false">+H94*$J$18</f>
        <v>1.08182825263896</v>
      </c>
      <c r="K95" s="323" t="n">
        <f aca="false">+J95*$K$18</f>
        <v>0.0378639888423635</v>
      </c>
      <c r="L95" s="323" t="n">
        <f aca="false">+J95*$L$18</f>
        <v>0.00540914126319479</v>
      </c>
      <c r="M95" s="320" t="n">
        <f aca="false">+J95+K95+L95</f>
        <v>1.12510138274452</v>
      </c>
    </row>
    <row r="96" customFormat="false" ht="12.75" hidden="false" customHeight="false" outlineLevel="0" collapsed="false">
      <c r="A96" s="319" t="n">
        <v>78</v>
      </c>
      <c r="B96" s="207" t="n">
        <f aca="false">+B95+E96</f>
        <v>46169.3358630093</v>
      </c>
      <c r="C96" s="323" t="n">
        <f aca="false">+$D$11-D96</f>
        <v>172.785689611525</v>
      </c>
      <c r="D96" s="323" t="n">
        <f aca="false">+H95*$B$9/360*E96</f>
        <v>14.6144264437662</v>
      </c>
      <c r="E96" s="208" t="n">
        <v>30</v>
      </c>
      <c r="F96" s="323" t="n">
        <f aca="false">+C96+D96</f>
        <v>187.400116055291</v>
      </c>
      <c r="G96" s="324" t="n">
        <f aca="false">+F96+M96</f>
        <v>188.390222569104</v>
      </c>
      <c r="H96" s="320" t="n">
        <f aca="false">+H95-C96</f>
        <v>1079.87943413987</v>
      </c>
      <c r="J96" s="325" t="n">
        <f aca="false">+H95*$J$18</f>
        <v>0.952025494051057</v>
      </c>
      <c r="K96" s="323" t="n">
        <f aca="false">+J96*$K$18</f>
        <v>0.033320892291787</v>
      </c>
      <c r="L96" s="323" t="n">
        <f aca="false">+J96*$L$18</f>
        <v>0.00476012747025529</v>
      </c>
      <c r="M96" s="320" t="n">
        <f aca="false">+J96+K96+L96</f>
        <v>0.990106513813099</v>
      </c>
    </row>
    <row r="97" customFormat="false" ht="12.75" hidden="false" customHeight="false" outlineLevel="0" collapsed="false">
      <c r="A97" s="319" t="n">
        <v>79</v>
      </c>
      <c r="B97" s="207" t="n">
        <f aca="true">NOW()</f>
        <v>46079.3358630093</v>
      </c>
      <c r="C97" s="323" t="n">
        <f aca="false">+$D$11-D97</f>
        <v>174.801522656992</v>
      </c>
      <c r="D97" s="323" t="n">
        <f aca="false">+H96*$B$9/360*E97</f>
        <v>12.5985933982984</v>
      </c>
      <c r="E97" s="208" t="n">
        <v>30</v>
      </c>
      <c r="F97" s="323" t="n">
        <f aca="false">+C97+D97</f>
        <v>187.400116055291</v>
      </c>
      <c r="G97" s="324" t="n">
        <f aca="false">+F97+M97</f>
        <v>188.253652760035</v>
      </c>
      <c r="H97" s="320" t="n">
        <f aca="false">+H96-C97</f>
        <v>905.077911482873</v>
      </c>
      <c r="J97" s="325" t="n">
        <f aca="false">+H96*$J$18</f>
        <v>0.820708369946298</v>
      </c>
      <c r="K97" s="323" t="n">
        <f aca="false">+J97*$K$18</f>
        <v>0.0287247929481204</v>
      </c>
      <c r="L97" s="323" t="n">
        <f aca="false">+J97*$L$18</f>
        <v>0.00410354184973149</v>
      </c>
      <c r="M97" s="320" t="n">
        <f aca="false">+J97+K97+L97</f>
        <v>0.85353670474415</v>
      </c>
    </row>
    <row r="98" customFormat="false" ht="12.75" hidden="false" customHeight="false" outlineLevel="0" collapsed="false">
      <c r="A98" s="319" t="n">
        <v>80</v>
      </c>
      <c r="B98" s="207" t="n">
        <f aca="false">+B97+E98</f>
        <v>46109.3358630093</v>
      </c>
      <c r="C98" s="323" t="n">
        <f aca="false">+$D$11-D98</f>
        <v>176.840873754657</v>
      </c>
      <c r="D98" s="323" t="n">
        <f aca="false">+H97*$B$9/360*E98</f>
        <v>10.5592423006335</v>
      </c>
      <c r="E98" s="208" t="n">
        <v>30</v>
      </c>
      <c r="F98" s="323" t="n">
        <f aca="false">+C98+D98</f>
        <v>187.400116055291</v>
      </c>
      <c r="G98" s="324" t="n">
        <f aca="false">+F98+M98</f>
        <v>188.115489636527</v>
      </c>
      <c r="H98" s="320" t="n">
        <f aca="false">+H97-C98</f>
        <v>728.237037728216</v>
      </c>
      <c r="J98" s="325" t="n">
        <f aca="false">+H97*$J$18</f>
        <v>0.687859212726984</v>
      </c>
      <c r="K98" s="323" t="n">
        <f aca="false">+J98*$K$18</f>
        <v>0.0240750724454444</v>
      </c>
      <c r="L98" s="323" t="n">
        <f aca="false">+J98*$L$18</f>
        <v>0.00343929606363492</v>
      </c>
      <c r="M98" s="320" t="n">
        <f aca="false">+J98+K98+L98</f>
        <v>0.715373581236063</v>
      </c>
    </row>
    <row r="99" customFormat="false" ht="12.75" hidden="false" customHeight="false" outlineLevel="0" collapsed="false">
      <c r="A99" s="319" t="n">
        <v>81</v>
      </c>
      <c r="B99" s="207" t="n">
        <f aca="false">+B98+E99</f>
        <v>46139.3358630093</v>
      </c>
      <c r="C99" s="323" t="n">
        <f aca="false">+$D$11-D99</f>
        <v>178.904017281795</v>
      </c>
      <c r="D99" s="323" t="n">
        <f aca="false">+H98*$B$9/360*E99</f>
        <v>8.49609877349586</v>
      </c>
      <c r="E99" s="208" t="n">
        <v>30</v>
      </c>
      <c r="F99" s="323" t="n">
        <f aca="false">+C99+D99</f>
        <v>187.400116055291</v>
      </c>
      <c r="G99" s="324" t="n">
        <f aca="false">+F99+M99</f>
        <v>187.975714609911</v>
      </c>
      <c r="H99" s="320" t="n">
        <f aca="false">+H98-C99</f>
        <v>549.333020446421</v>
      </c>
      <c r="J99" s="325" t="n">
        <f aca="false">+H98*$J$18</f>
        <v>0.553460148673444</v>
      </c>
      <c r="K99" s="323" t="n">
        <f aca="false">+J99*$K$18</f>
        <v>0.0193711052035706</v>
      </c>
      <c r="L99" s="323" t="n">
        <f aca="false">+J99*$L$18</f>
        <v>0.00276730074336722</v>
      </c>
      <c r="M99" s="320" t="n">
        <f aca="false">+J99+K99+L99</f>
        <v>0.575598554620382</v>
      </c>
    </row>
    <row r="100" customFormat="false" ht="12.75" hidden="false" customHeight="false" outlineLevel="0" collapsed="false">
      <c r="A100" s="319" t="n">
        <v>82</v>
      </c>
      <c r="B100" s="207" t="n">
        <f aca="false">+B99+E100</f>
        <v>46169.3358630093</v>
      </c>
      <c r="C100" s="323" t="n">
        <f aca="false">+$D$11-D100</f>
        <v>180.991230816749</v>
      </c>
      <c r="D100" s="323" t="n">
        <f aca="false">+H99*$B$9/360*E100</f>
        <v>6.40888523854158</v>
      </c>
      <c r="E100" s="208" t="n">
        <v>30</v>
      </c>
      <c r="F100" s="323" t="n">
        <f aca="false">+C100+D100</f>
        <v>187.400116055291</v>
      </c>
      <c r="G100" s="324" t="n">
        <f aca="false">+F100+M100</f>
        <v>187.834308874652</v>
      </c>
      <c r="H100" s="320" t="n">
        <f aca="false">+H99-C100</f>
        <v>368.341789629672</v>
      </c>
      <c r="J100" s="325" t="n">
        <f aca="false">+H99*$J$18</f>
        <v>0.41749309553928</v>
      </c>
      <c r="K100" s="323" t="n">
        <f aca="false">+J100*$K$18</f>
        <v>0.0146122583438748</v>
      </c>
      <c r="L100" s="323" t="n">
        <f aca="false">+J100*$L$18</f>
        <v>0.0020874654776964</v>
      </c>
      <c r="M100" s="320" t="n">
        <f aca="false">+J100+K100+L100</f>
        <v>0.434192819360851</v>
      </c>
    </row>
    <row r="101" customFormat="false" ht="12.75" hidden="false" customHeight="false" outlineLevel="0" collapsed="false">
      <c r="A101" s="319" t="n">
        <v>83</v>
      </c>
      <c r="B101" s="207" t="n">
        <f aca="true">NOW()</f>
        <v>46079.3358630093</v>
      </c>
      <c r="C101" s="323" t="n">
        <f aca="false">+$D$11-D101</f>
        <v>183.102795176278</v>
      </c>
      <c r="D101" s="323" t="n">
        <f aca="false">+H100*$B$9/360*E101</f>
        <v>4.29732087901284</v>
      </c>
      <c r="E101" s="208" t="n">
        <v>30</v>
      </c>
      <c r="F101" s="323" t="n">
        <f aca="false">+C101+D101</f>
        <v>187.400116055291</v>
      </c>
      <c r="G101" s="324" t="n">
        <f aca="false">+F101+M101</f>
        <v>187.691253405814</v>
      </c>
      <c r="H101" s="320" t="n">
        <f aca="false">+H100-C101</f>
        <v>185.238994453394</v>
      </c>
      <c r="J101" s="325" t="n">
        <f aca="false">+H100*$J$18</f>
        <v>0.279939760118551</v>
      </c>
      <c r="K101" s="323" t="n">
        <f aca="false">+J101*$K$18</f>
        <v>0.00979789160414927</v>
      </c>
      <c r="L101" s="323" t="n">
        <f aca="false">+J101*$L$18</f>
        <v>0.00139969880059275</v>
      </c>
      <c r="M101" s="320" t="n">
        <f aca="false">+J101+K101+L101</f>
        <v>0.291137350523293</v>
      </c>
    </row>
    <row r="102" customFormat="false" ht="12.75" hidden="false" customHeight="false" outlineLevel="0" collapsed="false">
      <c r="A102" s="319" t="n">
        <v>84</v>
      </c>
      <c r="B102" s="207" t="n">
        <f aca="false">+B101+E102</f>
        <v>46109.3358630093</v>
      </c>
      <c r="C102" s="323" t="n">
        <f aca="false">+$D$11-D102</f>
        <v>185.238994453335</v>
      </c>
      <c r="D102" s="323" t="n">
        <f aca="false">+H101*$B$9/360*E102</f>
        <v>2.16112160195626</v>
      </c>
      <c r="E102" s="208" t="n">
        <v>30</v>
      </c>
      <c r="F102" s="323" t="n">
        <f aca="false">+C102+D102</f>
        <v>187.400116055291</v>
      </c>
      <c r="G102" s="324" t="n">
        <f aca="false">+F102+M102</f>
        <v>187.546528956507</v>
      </c>
      <c r="H102" s="320" t="n">
        <f aca="false">+H101-C102</f>
        <v>5.91171556152403E-011</v>
      </c>
      <c r="J102" s="325" t="n">
        <f aca="false">+H101*$J$18</f>
        <v>0.140781635784579</v>
      </c>
      <c r="K102" s="323" t="n">
        <f aca="false">+J102*$K$18</f>
        <v>0.00492735725246027</v>
      </c>
      <c r="L102" s="323" t="n">
        <f aca="false">+J102*$L$18</f>
        <v>0.000703908178922896</v>
      </c>
      <c r="M102" s="320" t="n">
        <f aca="false">+J102+K102+L102</f>
        <v>0.146412901215962</v>
      </c>
    </row>
    <row r="103" customFormat="false" ht="12.75" hidden="false" customHeight="false" outlineLevel="0" collapsed="false">
      <c r="A103" s="319" t="n">
        <v>85</v>
      </c>
      <c r="B103" s="207" t="n">
        <f aca="false">+B102+E103</f>
        <v>46139.3358630093</v>
      </c>
      <c r="C103" s="323" t="n">
        <f aca="false">+$D$11-D103</f>
        <v>187.40011605529</v>
      </c>
      <c r="D103" s="323" t="n">
        <f aca="false">+H102*$B$9/360*E103</f>
        <v>6.89700148844471E-013</v>
      </c>
      <c r="E103" s="208" t="n">
        <v>30</v>
      </c>
      <c r="F103" s="323" t="n">
        <f aca="false">+C103+D103</f>
        <v>187.400116055291</v>
      </c>
      <c r="G103" s="324" t="n">
        <f aca="false">+F103+M103</f>
        <v>187.400116055291</v>
      </c>
      <c r="H103" s="320" t="n">
        <f aca="false">+H102-C103</f>
        <v>-187.400116055231</v>
      </c>
      <c r="J103" s="325" t="n">
        <f aca="false">+H102*$J$18</f>
        <v>4.49290382675827E-014</v>
      </c>
      <c r="K103" s="323" t="n">
        <f aca="false">+J103*$K$18</f>
        <v>1.57251633936539E-015</v>
      </c>
      <c r="L103" s="323" t="n">
        <f aca="false">+J103*$L$18</f>
        <v>2.24645191337913E-016</v>
      </c>
      <c r="M103" s="320" t="n">
        <f aca="false">+J103+K103+L103</f>
        <v>4.6726199798286E-014</v>
      </c>
    </row>
    <row r="104" customFormat="false" ht="12.75" hidden="false" customHeight="false" outlineLevel="0" collapsed="false">
      <c r="A104" s="319" t="n">
        <v>86</v>
      </c>
      <c r="B104" s="207" t="n">
        <f aca="false">+B103+E104</f>
        <v>46169.3358630093</v>
      </c>
      <c r="C104" s="323" t="n">
        <f aca="false">+$D$11-D104</f>
        <v>189.586450742602</v>
      </c>
      <c r="D104" s="323" t="n">
        <f aca="false">+H103*$B$9/360*E104</f>
        <v>-2.18633468731103</v>
      </c>
      <c r="E104" s="208" t="n">
        <v>30</v>
      </c>
      <c r="F104" s="323" t="n">
        <f aca="false">+C104+D104</f>
        <v>187.400116055291</v>
      </c>
      <c r="G104" s="324" t="n">
        <f aca="false">+F104+M104</f>
        <v>187.251995003561</v>
      </c>
      <c r="H104" s="320" t="n">
        <f aca="false">+H103-C104</f>
        <v>-376.986566797833</v>
      </c>
      <c r="J104" s="325" t="n">
        <f aca="false">+H103*$J$18</f>
        <v>-0.142424088201976</v>
      </c>
      <c r="K104" s="323" t="n">
        <f aca="false">+J104*$K$18</f>
        <v>-0.00498484308706915</v>
      </c>
      <c r="L104" s="323" t="n">
        <f aca="false">+J104*$L$18</f>
        <v>-0.000712120441009878</v>
      </c>
      <c r="M104" s="320" t="n">
        <f aca="false">+J104+K104+L104</f>
        <v>-0.148121051730055</v>
      </c>
    </row>
    <row r="105" customFormat="false" ht="12.75" hidden="false" customHeight="false" outlineLevel="0" collapsed="false">
      <c r="A105" s="319" t="n">
        <v>87</v>
      </c>
      <c r="B105" s="207" t="n">
        <f aca="true">NOW()</f>
        <v>46079.3358630093</v>
      </c>
      <c r="C105" s="323" t="n">
        <f aca="false">+$D$11-D105</f>
        <v>191.798292667932</v>
      </c>
      <c r="D105" s="323" t="n">
        <f aca="false">+H104*$B$9/360*E105</f>
        <v>-4.39817661264139</v>
      </c>
      <c r="E105" s="208" t="n">
        <v>30</v>
      </c>
      <c r="F105" s="323" t="n">
        <f aca="false">+C105+D105</f>
        <v>187.400116055291</v>
      </c>
      <c r="G105" s="324" t="n">
        <f aca="false">+F105+M105</f>
        <v>187.102145872894</v>
      </c>
      <c r="H105" s="320" t="n">
        <f aca="false">+H104-C105</f>
        <v>-568.784859465765</v>
      </c>
      <c r="J105" s="325" t="n">
        <f aca="false">+H104*$J$18</f>
        <v>-0.286509790766353</v>
      </c>
      <c r="K105" s="323" t="n">
        <f aca="false">+J105*$K$18</f>
        <v>-0.0100278426768224</v>
      </c>
      <c r="L105" s="323" t="n">
        <f aca="false">+J105*$L$18</f>
        <v>-0.00143254895383177</v>
      </c>
      <c r="M105" s="320" t="n">
        <f aca="false">+J105+K105+L105</f>
        <v>-0.297970182397007</v>
      </c>
    </row>
    <row r="106" customFormat="false" ht="12.75" hidden="false" customHeight="false" outlineLevel="0" collapsed="false">
      <c r="A106" s="319" t="n">
        <v>88</v>
      </c>
      <c r="B106" s="207" t="n">
        <f aca="false">+B105+E106</f>
        <v>46109.3358630093</v>
      </c>
      <c r="C106" s="323" t="n">
        <f aca="false">+$D$11-D106</f>
        <v>194.035939415725</v>
      </c>
      <c r="D106" s="323" t="n">
        <f aca="false">+H105*$B$9/360*E106</f>
        <v>-6.63582336043393</v>
      </c>
      <c r="E106" s="208" t="n">
        <v>30</v>
      </c>
      <c r="F106" s="323" t="n">
        <f aca="false">+C106+D106</f>
        <v>187.400116055291</v>
      </c>
      <c r="G106" s="324" t="n">
        <f aca="false">+F106+M106</f>
        <v>186.950548502369</v>
      </c>
      <c r="H106" s="320" t="n">
        <f aca="false">+H105-C106</f>
        <v>-762.82079888149</v>
      </c>
      <c r="J106" s="325" t="n">
        <f aca="false">+H105*$J$18</f>
        <v>-0.432276493193982</v>
      </c>
      <c r="K106" s="323" t="n">
        <f aca="false">+J106*$K$18</f>
        <v>-0.0151296772617894</v>
      </c>
      <c r="L106" s="323" t="n">
        <f aca="false">+J106*$L$18</f>
        <v>-0.00216138246596991</v>
      </c>
      <c r="M106" s="320" t="n">
        <f aca="false">+J106+K106+L106</f>
        <v>-0.449567552921741</v>
      </c>
    </row>
    <row r="107" customFormat="false" ht="12.75" hidden="false" customHeight="false" outlineLevel="0" collapsed="false">
      <c r="A107" s="319" t="n">
        <v>89</v>
      </c>
      <c r="B107" s="207" t="n">
        <f aca="false">+B106+E107</f>
        <v>46139.3358630093</v>
      </c>
      <c r="C107" s="323" t="n">
        <f aca="false">+$D$11-D107</f>
        <v>196.299692042242</v>
      </c>
      <c r="D107" s="323" t="n">
        <f aca="false">+H106*$B$9/360*E107</f>
        <v>-8.89957598695072</v>
      </c>
      <c r="E107" s="208" t="n">
        <v>30</v>
      </c>
      <c r="F107" s="323" t="n">
        <f aca="false">+C107+D107</f>
        <v>187.400116055291</v>
      </c>
      <c r="G107" s="324" t="n">
        <f aca="false">+F107+M107</f>
        <v>186.797182495855</v>
      </c>
      <c r="H107" s="320" t="n">
        <f aca="false">+H106-C107</f>
        <v>-959.120490923732</v>
      </c>
      <c r="J107" s="325" t="n">
        <f aca="false">+H106*$J$18</f>
        <v>-0.579743807149933</v>
      </c>
      <c r="K107" s="323" t="n">
        <f aca="false">+J107*$K$18</f>
        <v>-0.0202910332502476</v>
      </c>
      <c r="L107" s="323" t="n">
        <f aca="false">+J107*$L$18</f>
        <v>-0.00289871903574966</v>
      </c>
      <c r="M107" s="320" t="n">
        <f aca="false">+J107+K107+L107</f>
        <v>-0.60293355943593</v>
      </c>
    </row>
    <row r="108" customFormat="false" ht="12.75" hidden="false" customHeight="false" outlineLevel="0" collapsed="false">
      <c r="A108" s="319" t="n">
        <v>90</v>
      </c>
      <c r="B108" s="207" t="n">
        <f aca="false">+B107+E108</f>
        <v>46169.3358630093</v>
      </c>
      <c r="C108" s="323" t="n">
        <f aca="false">+$D$11-D108</f>
        <v>198.589855116068</v>
      </c>
      <c r="D108" s="323" t="n">
        <f aca="false">+H107*$B$9/360*E108</f>
        <v>-11.1897390607769</v>
      </c>
      <c r="E108" s="208" t="n">
        <v>30</v>
      </c>
      <c r="F108" s="323" t="n">
        <f aca="false">+C108+D108</f>
        <v>187.400116055291</v>
      </c>
      <c r="G108" s="324" t="n">
        <f aca="false">+F108+M108</f>
        <v>186.642027219265</v>
      </c>
      <c r="H108" s="320" t="n">
        <f aca="false">+H107-C108</f>
        <v>-1157.7103460398</v>
      </c>
      <c r="J108" s="325" t="n">
        <f aca="false">+H107*$J$18</f>
        <v>-0.728931573102036</v>
      </c>
      <c r="K108" s="323" t="n">
        <f aca="false">+J108*$K$18</f>
        <v>-0.0255126050585713</v>
      </c>
      <c r="L108" s="323" t="n">
        <f aca="false">+J108*$L$18</f>
        <v>-0.00364465786551018</v>
      </c>
      <c r="M108" s="320" t="n">
        <f aca="false">+J108+K108+L108</f>
        <v>-0.758088836026118</v>
      </c>
    </row>
    <row r="109" customFormat="false" ht="12.75" hidden="false" customHeight="false" outlineLevel="0" collapsed="false">
      <c r="A109" s="319" t="n">
        <v>91</v>
      </c>
      <c r="B109" s="207" t="n">
        <f aca="true">NOW()</f>
        <v>46079.3358630093</v>
      </c>
      <c r="C109" s="323" t="n">
        <f aca="false">+$D$11-D109</f>
        <v>200.906736759089</v>
      </c>
      <c r="D109" s="323" t="n">
        <f aca="false">+H108*$B$9/360*E109</f>
        <v>-13.5066207037977</v>
      </c>
      <c r="E109" s="208" t="n">
        <v>30</v>
      </c>
      <c r="F109" s="323" t="n">
        <f aca="false">+C109+D109</f>
        <v>187.400116055291</v>
      </c>
      <c r="G109" s="324" t="n">
        <f aca="false">+F109+M109</f>
        <v>186.485061797781</v>
      </c>
      <c r="H109" s="320" t="n">
        <f aca="false">+H108-C109</f>
        <v>-1358.61708279889</v>
      </c>
      <c r="J109" s="325" t="n">
        <f aca="false">+H108*$J$18</f>
        <v>-0.879859862990248</v>
      </c>
      <c r="K109" s="323" t="n">
        <f aca="false">+J109*$K$18</f>
        <v>-0.0307950952046587</v>
      </c>
      <c r="L109" s="323" t="n">
        <f aca="false">+J109*$L$18</f>
        <v>-0.00439929931495124</v>
      </c>
      <c r="M109" s="320" t="n">
        <f aca="false">+J109+K109+L109</f>
        <v>-0.915054257509858</v>
      </c>
    </row>
    <row r="110" customFormat="false" ht="12.75" hidden="false" customHeight="false" outlineLevel="0" collapsed="false">
      <c r="A110" s="319" t="n">
        <v>92</v>
      </c>
      <c r="B110" s="207" t="n">
        <f aca="false">+B109+E110</f>
        <v>46109.3358630093</v>
      </c>
      <c r="C110" s="323" t="n">
        <f aca="false">+$D$11-D110</f>
        <v>203.250648687945</v>
      </c>
      <c r="D110" s="323" t="n">
        <f aca="false">+H109*$B$9/360*E110</f>
        <v>-15.8505326326537</v>
      </c>
      <c r="E110" s="208" t="n">
        <v>30</v>
      </c>
      <c r="F110" s="323" t="n">
        <f aca="false">+C110+D110</f>
        <v>187.400116055291</v>
      </c>
      <c r="G110" s="324" t="n">
        <f aca="false">+F110+M110</f>
        <v>186.326265113047</v>
      </c>
      <c r="H110" s="320" t="n">
        <f aca="false">+H109-C110</f>
        <v>-1561.86773148683</v>
      </c>
      <c r="J110" s="325" t="n">
        <f aca="false">+H109*$J$18</f>
        <v>-1.03254898292716</v>
      </c>
      <c r="K110" s="323" t="n">
        <f aca="false">+J110*$K$18</f>
        <v>-0.0361392144024504</v>
      </c>
      <c r="L110" s="323" t="n">
        <f aca="false">+J110*$L$18</f>
        <v>-0.00516274491463578</v>
      </c>
      <c r="M110" s="320" t="n">
        <f aca="false">+J110+K110+L110</f>
        <v>-1.07385094224424</v>
      </c>
    </row>
    <row r="111" customFormat="false" ht="12.75" hidden="false" customHeight="false" outlineLevel="0" collapsed="false">
      <c r="A111" s="319" t="n">
        <v>93</v>
      </c>
      <c r="B111" s="207" t="n">
        <f aca="false">+B110+E111</f>
        <v>46139.3358630093</v>
      </c>
      <c r="C111" s="323" t="n">
        <f aca="false">+$D$11-D111</f>
        <v>205.621906255971</v>
      </c>
      <c r="D111" s="323" t="n">
        <f aca="false">+H110*$B$9/360*E111</f>
        <v>-18.2217902006797</v>
      </c>
      <c r="E111" s="208" t="n">
        <v>30</v>
      </c>
      <c r="F111" s="323" t="n">
        <f aca="false">+C111+D111</f>
        <v>187.400116055291</v>
      </c>
      <c r="G111" s="324" t="n">
        <f aca="false">+F111+M111</f>
        <v>186.165615800324</v>
      </c>
      <c r="H111" s="320" t="n">
        <f aca="false">+H110-C111</f>
        <v>-1767.4896377428</v>
      </c>
      <c r="J111" s="325" t="n">
        <f aca="false">+H110*$J$18</f>
        <v>-1.18701947592999</v>
      </c>
      <c r="K111" s="323" t="n">
        <f aca="false">+J111*$K$18</f>
        <v>-0.0415456816575498</v>
      </c>
      <c r="L111" s="323" t="n">
        <f aca="false">+J111*$L$18</f>
        <v>-0.00593509737964997</v>
      </c>
      <c r="M111" s="320" t="n">
        <f aca="false">+J111+K111+L111</f>
        <v>-1.23450025496719</v>
      </c>
    </row>
    <row r="112" customFormat="false" ht="12.75" hidden="false" customHeight="false" outlineLevel="0" collapsed="false">
      <c r="A112" s="319" t="n">
        <v>94</v>
      </c>
      <c r="B112" s="207" t="n">
        <f aca="false">+B111+E112</f>
        <v>46169.3358630093</v>
      </c>
      <c r="C112" s="323" t="n">
        <f aca="false">+$D$11-D112</f>
        <v>208.020828495624</v>
      </c>
      <c r="D112" s="323" t="n">
        <f aca="false">+H111*$B$9/360*E112</f>
        <v>-20.6207124403327</v>
      </c>
      <c r="E112" s="208" t="n">
        <v>30</v>
      </c>
      <c r="F112" s="323" t="n">
        <f aca="false">+C112+D112</f>
        <v>187.400116055291</v>
      </c>
      <c r="G112" s="324" t="n">
        <f aca="false">+F112+M112</f>
        <v>186.003092245619</v>
      </c>
      <c r="H112" s="320" t="n">
        <f aca="false">+H111-C112</f>
        <v>-1975.51046623843</v>
      </c>
      <c r="J112" s="325" t="n">
        <f aca="false">+H111*$J$18</f>
        <v>-1.34329212468453</v>
      </c>
      <c r="K112" s="323" t="n">
        <f aca="false">+J112*$K$18</f>
        <v>-0.0470152243639586</v>
      </c>
      <c r="L112" s="323" t="n">
        <f aca="false">+J112*$L$18</f>
        <v>-0.00671646062342265</v>
      </c>
      <c r="M112" s="320" t="n">
        <f aca="false">+J112+K112+L112</f>
        <v>-1.39702380967191</v>
      </c>
    </row>
    <row r="113" customFormat="false" ht="12.75" hidden="false" customHeight="false" outlineLevel="0" collapsed="false">
      <c r="A113" s="319" t="n">
        <v>95</v>
      </c>
      <c r="B113" s="207" t="n">
        <f aca="true">NOW()</f>
        <v>46079.3358630093</v>
      </c>
      <c r="C113" s="323" t="n">
        <f aca="false">+$D$11-D113</f>
        <v>210.447738161406</v>
      </c>
      <c r="D113" s="323" t="n">
        <f aca="false">+H112*$B$9/360*E113</f>
        <v>-23.047622106115</v>
      </c>
      <c r="E113" s="208" t="n">
        <v>30</v>
      </c>
      <c r="F113" s="323" t="n">
        <f aca="false">+C113+D113</f>
        <v>187.400116055291</v>
      </c>
      <c r="G113" s="324" t="n">
        <f aca="false">+F113+M113</f>
        <v>185.838672582776</v>
      </c>
      <c r="H113" s="320" t="n">
        <f aca="false">+H112-C113</f>
        <v>-2185.95820439983</v>
      </c>
      <c r="J113" s="325" t="n">
        <f aca="false">+H112*$J$18</f>
        <v>-1.5013879543412</v>
      </c>
      <c r="K113" s="323" t="n">
        <f aca="false">+J113*$K$18</f>
        <v>-0.0525485784019422</v>
      </c>
      <c r="L113" s="323" t="n">
        <f aca="false">+J113*$L$18</f>
        <v>-0.00750693977170602</v>
      </c>
      <c r="M113" s="320" t="n">
        <f aca="false">+J113+K113+L113</f>
        <v>-1.56144347251485</v>
      </c>
    </row>
    <row r="114" customFormat="false" ht="12.75" hidden="false" customHeight="false" outlineLevel="0" collapsed="false">
      <c r="A114" s="319" t="n">
        <v>96</v>
      </c>
      <c r="B114" s="207" t="n">
        <f aca="false">+B113+E114</f>
        <v>46109.3358630093</v>
      </c>
      <c r="C114" s="323" t="n">
        <f aca="false">+$D$11-D114</f>
        <v>212.902961773289</v>
      </c>
      <c r="D114" s="323" t="n">
        <f aca="false">+H113*$B$9/360*E114</f>
        <v>-25.5028457179981</v>
      </c>
      <c r="E114" s="208" t="n">
        <v>30</v>
      </c>
      <c r="F114" s="323" t="n">
        <f aca="false">+C114+D114</f>
        <v>187.400116055291</v>
      </c>
      <c r="G114" s="324" t="n">
        <f aca="false">+F114+M114</f>
        <v>185.672334690533</v>
      </c>
      <c r="H114" s="320" t="n">
        <f aca="false">+H113-C114</f>
        <v>-2398.86116617312</v>
      </c>
      <c r="J114" s="325" t="n">
        <f aca="false">+H113*$J$18</f>
        <v>-1.66132823534387</v>
      </c>
      <c r="K114" s="323" t="n">
        <f aca="false">+J114*$K$18</f>
        <v>-0.0581464882370356</v>
      </c>
      <c r="L114" s="323" t="n">
        <f aca="false">+J114*$L$18</f>
        <v>-0.00830664117671937</v>
      </c>
      <c r="M114" s="320" t="n">
        <f aca="false">+J114+K114+L114</f>
        <v>-1.72778136475763</v>
      </c>
    </row>
    <row r="115" customFormat="false" ht="12.75" hidden="false" customHeight="false" outlineLevel="0" collapsed="false">
      <c r="A115" s="319" t="n">
        <v>97</v>
      </c>
      <c r="B115" s="207" t="n">
        <f aca="false">+B114+E115</f>
        <v>46139.3358630093</v>
      </c>
      <c r="C115" s="323" t="n">
        <f aca="false">+$D$11-D115</f>
        <v>215.386829660644</v>
      </c>
      <c r="D115" s="323" t="n">
        <f aca="false">+H114*$B$9/360*E115</f>
        <v>-27.9867136053531</v>
      </c>
      <c r="E115" s="208" t="n">
        <v>30</v>
      </c>
      <c r="F115" s="323" t="n">
        <f aca="false">+C115+D115</f>
        <v>187.400116055291</v>
      </c>
      <c r="G115" s="324" t="n">
        <f aca="false">+F115+M115</f>
        <v>185.504056189548</v>
      </c>
      <c r="H115" s="320" t="n">
        <f aca="false">+H114-C115</f>
        <v>-2614.24799583377</v>
      </c>
      <c r="J115" s="325" t="n">
        <f aca="false">+H114*$J$18</f>
        <v>-1.82313448629157</v>
      </c>
      <c r="K115" s="323" t="n">
        <f aca="false">+J115*$K$18</f>
        <v>-0.0638097070202051</v>
      </c>
      <c r="L115" s="323" t="n">
        <f aca="false">+J115*$L$18</f>
        <v>-0.00911567243145786</v>
      </c>
      <c r="M115" s="320" t="n">
        <f aca="false">+J115+K115+L115</f>
        <v>-1.89605986574324</v>
      </c>
    </row>
    <row r="116" customFormat="false" ht="12.75" hidden="false" customHeight="false" outlineLevel="0" collapsed="false">
      <c r="A116" s="319" t="n">
        <v>98</v>
      </c>
      <c r="B116" s="207" t="n">
        <f aca="false">+B115+E116</f>
        <v>46169.3358630093</v>
      </c>
      <c r="C116" s="323" t="n">
        <f aca="false">+$D$11-D116</f>
        <v>217.899676006685</v>
      </c>
      <c r="D116" s="323" t="n">
        <f aca="false">+H115*$B$9/360*E116</f>
        <v>-30.4995599513939</v>
      </c>
      <c r="E116" s="208" t="n">
        <v>30</v>
      </c>
      <c r="F116" s="323" t="n">
        <f aca="false">+C116+D116</f>
        <v>187.400116055291</v>
      </c>
      <c r="G116" s="324" t="n">
        <f aca="false">+F116+M116</f>
        <v>185.333814439384</v>
      </c>
      <c r="H116" s="320" t="n">
        <f aca="false">+H115-C116</f>
        <v>-2832.14767184045</v>
      </c>
      <c r="J116" s="325" t="n">
        <f aca="false">+H115*$J$18</f>
        <v>-1.98682847683366</v>
      </c>
      <c r="K116" s="323" t="n">
        <f aca="false">+J116*$K$18</f>
        <v>-0.0695389966891782</v>
      </c>
      <c r="L116" s="323" t="n">
        <f aca="false">+J116*$L$18</f>
        <v>-0.00993414238416831</v>
      </c>
      <c r="M116" s="320" t="n">
        <f aca="false">+J116+K116+L116</f>
        <v>-2.06630161590701</v>
      </c>
    </row>
    <row r="117" customFormat="false" ht="12.75" hidden="false" customHeight="false" outlineLevel="0" collapsed="false">
      <c r="A117" s="319" t="n">
        <v>99</v>
      </c>
      <c r="B117" s="207" t="n">
        <f aca="true">NOW()</f>
        <v>46079.3358630093</v>
      </c>
      <c r="C117" s="323" t="n">
        <f aca="false">+$D$11-D117</f>
        <v>220.441838893429</v>
      </c>
      <c r="D117" s="323" t="n">
        <f aca="false">+H116*$B$9/360*E117</f>
        <v>-33.0417228381386</v>
      </c>
      <c r="E117" s="208" t="n">
        <v>30</v>
      </c>
      <c r="F117" s="323" t="n">
        <f aca="false">+C117+D117</f>
        <v>187.400116055291</v>
      </c>
      <c r="G117" s="324" t="n">
        <f aca="false">+F117+M117</f>
        <v>185.161586535468</v>
      </c>
      <c r="H117" s="320" t="n">
        <f aca="false">+H116-C117</f>
        <v>-3052.58951073388</v>
      </c>
      <c r="J117" s="325" t="n">
        <f aca="false">+H116*$J$18</f>
        <v>-2.15243223059874</v>
      </c>
      <c r="K117" s="323" t="n">
        <f aca="false">+J117*$K$18</f>
        <v>-0.075335128070956</v>
      </c>
      <c r="L117" s="323" t="n">
        <f aca="false">+J117*$L$18</f>
        <v>-0.0107621611529937</v>
      </c>
      <c r="M117" s="320" t="n">
        <f aca="false">+J117+K117+L117</f>
        <v>-2.23852951982269</v>
      </c>
    </row>
    <row r="118" customFormat="false" ht="12.75" hidden="false" customHeight="false" outlineLevel="0" collapsed="false">
      <c r="A118" s="319" t="n">
        <v>100</v>
      </c>
      <c r="B118" s="207" t="n">
        <f aca="true">NOW()</f>
        <v>46079.3358630093</v>
      </c>
      <c r="C118" s="323" t="n">
        <f aca="false">+$D$11-D118</f>
        <v>223.013660347186</v>
      </c>
      <c r="D118" s="323" t="n">
        <f aca="false">+H117*$B$9/360*E118</f>
        <v>-35.6135442918953</v>
      </c>
      <c r="E118" s="208" t="n">
        <v>30</v>
      </c>
      <c r="F118" s="323" t="n">
        <f aca="false">+C118+D118</f>
        <v>187.400116055291</v>
      </c>
      <c r="G118" s="324" t="n">
        <f aca="false">+F118+M118</f>
        <v>184.987349306007</v>
      </c>
      <c r="H118" s="320" t="n">
        <f aca="false">+H117-C118</f>
        <v>-3275.60317108107</v>
      </c>
      <c r="J118" s="325" t="n">
        <f aca="false">+H117*$J$18</f>
        <v>-2.31996802815775</v>
      </c>
      <c r="K118" s="323" t="n">
        <f aca="false">+J118*$K$18</f>
        <v>-0.0811988809855212</v>
      </c>
      <c r="L118" s="323" t="n">
        <f aca="false">+J118*$L$18</f>
        <v>-0.0115998401407887</v>
      </c>
      <c r="M118" s="320" t="n">
        <f aca="false">+J118+K118+L118</f>
        <v>-2.41276674928406</v>
      </c>
    </row>
    <row r="119" customFormat="false" ht="12.75" hidden="false" customHeight="false" outlineLevel="0" collapsed="false">
      <c r="A119" s="319" t="n">
        <v>101</v>
      </c>
      <c r="B119" s="207" t="n">
        <f aca="false">+B118+E119</f>
        <v>46109.3358630093</v>
      </c>
      <c r="C119" s="323" t="n">
        <f aca="false">+$D$11-D119</f>
        <v>225.61548638457</v>
      </c>
      <c r="D119" s="323" t="n">
        <f aca="false">+H118*$B$9/360*E119</f>
        <v>-38.2153703292791</v>
      </c>
      <c r="E119" s="208" t="n">
        <v>30</v>
      </c>
      <c r="F119" s="323" t="n">
        <f aca="false">+C119+D119</f>
        <v>187.400116055291</v>
      </c>
      <c r="G119" s="324" t="n">
        <f aca="false">+F119+M119</f>
        <v>184.811079308868</v>
      </c>
      <c r="H119" s="320" t="n">
        <f aca="false">+H118-C119</f>
        <v>-3501.21865746564</v>
      </c>
      <c r="J119" s="325" t="n">
        <f aca="false">+H118*$J$18</f>
        <v>-2.48945841002161</v>
      </c>
      <c r="K119" s="323" t="n">
        <f aca="false">+J119*$K$18</f>
        <v>-0.0871310443507564</v>
      </c>
      <c r="L119" s="323" t="n">
        <f aca="false">+J119*$L$18</f>
        <v>-0.0124472920501081</v>
      </c>
      <c r="M119" s="320" t="n">
        <f aca="false">+J119+K119+L119</f>
        <v>-2.58903674642247</v>
      </c>
    </row>
    <row r="120" customFormat="false" ht="12.75" hidden="false" customHeight="false" outlineLevel="0" collapsed="false">
      <c r="A120" s="319" t="n">
        <v>102</v>
      </c>
      <c r="B120" s="207" t="n">
        <f aca="false">+B119+E120</f>
        <v>46139.3358630093</v>
      </c>
      <c r="C120" s="323" t="n">
        <f aca="false">+$D$11-D120</f>
        <v>228.247667059057</v>
      </c>
      <c r="D120" s="323" t="n">
        <f aca="false">+H119*$B$9/360*E120</f>
        <v>-40.8475510037658</v>
      </c>
      <c r="E120" s="208" t="n">
        <v>30</v>
      </c>
      <c r="F120" s="323" t="n">
        <f aca="false">+C120+D120</f>
        <v>187.400116055291</v>
      </c>
      <c r="G120" s="324" t="n">
        <f aca="false">+F120+M120</f>
        <v>184.63275282843</v>
      </c>
      <c r="H120" s="320" t="n">
        <f aca="false">+H119-C120</f>
        <v>-3729.46632452469</v>
      </c>
      <c r="J120" s="325" t="n">
        <f aca="false">+H119*$J$18</f>
        <v>-2.66092617967388</v>
      </c>
      <c r="K120" s="323" t="n">
        <f aca="false">+J120*$K$18</f>
        <v>-0.0931324162885859</v>
      </c>
      <c r="L120" s="323" t="n">
        <f aca="false">+J120*$L$18</f>
        <v>-0.0133046308983694</v>
      </c>
      <c r="M120" s="320" t="n">
        <f aca="false">+J120+K120+L120</f>
        <v>-2.76736322686084</v>
      </c>
    </row>
    <row r="121" customFormat="false" ht="12.75" hidden="false" customHeight="false" outlineLevel="0" collapsed="false">
      <c r="A121" s="319" t="n">
        <v>103</v>
      </c>
      <c r="B121" s="207" t="n">
        <f aca="false">+B120+E121</f>
        <v>46169.3358630093</v>
      </c>
      <c r="C121" s="323" t="n">
        <f aca="false">+$D$11-D121</f>
        <v>230.910556508079</v>
      </c>
      <c r="D121" s="323" t="n">
        <f aca="false">+H120*$B$9/360*E121</f>
        <v>-43.5104404527881</v>
      </c>
      <c r="E121" s="208" t="n">
        <v>30</v>
      </c>
      <c r="F121" s="323" t="n">
        <f aca="false">+C121+D121</f>
        <v>187.400116055291</v>
      </c>
      <c r="G121" s="324" t="n">
        <f aca="false">+F121+M121</f>
        <v>184.452345872387</v>
      </c>
      <c r="H121" s="320" t="n">
        <f aca="false">+H120-C121</f>
        <v>-3960.37688103277</v>
      </c>
      <c r="J121" s="325" t="n">
        <f aca="false">+H120*$J$18</f>
        <v>-2.83439440663877</v>
      </c>
      <c r="K121" s="323" t="n">
        <f aca="false">+J121*$K$18</f>
        <v>-0.0992038042323569</v>
      </c>
      <c r="L121" s="323" t="n">
        <f aca="false">+J121*$L$18</f>
        <v>-0.0141719720331938</v>
      </c>
      <c r="M121" s="320" t="n">
        <f aca="false">+J121+K121+L121</f>
        <v>-2.94777018290432</v>
      </c>
    </row>
    <row r="122" customFormat="false" ht="12.75" hidden="false" customHeight="false" outlineLevel="0" collapsed="false">
      <c r="A122" s="319" t="n">
        <v>104</v>
      </c>
      <c r="B122" s="207" t="n">
        <f aca="true">NOW()</f>
        <v>46079.3358630093</v>
      </c>
      <c r="C122" s="323" t="n">
        <f aca="false">+$D$11-D122</f>
        <v>233.604513000673</v>
      </c>
      <c r="D122" s="323" t="n">
        <f aca="false">+H121*$B$9/360*E122</f>
        <v>-46.2043969453823</v>
      </c>
      <c r="E122" s="208" t="n">
        <v>30</v>
      </c>
      <c r="F122" s="323" t="n">
        <f aca="false">+C122+D122</f>
        <v>187.400116055291</v>
      </c>
      <c r="G122" s="324" t="n">
        <f aca="false">+F122+M122</f>
        <v>184.269834168523</v>
      </c>
      <c r="H122" s="320" t="n">
        <f aca="false">+H121-C122</f>
        <v>-4193.98139403345</v>
      </c>
      <c r="J122" s="325" t="n">
        <f aca="false">+H121*$J$18</f>
        <v>-3.00988642958491</v>
      </c>
      <c r="K122" s="323" t="n">
        <f aca="false">+J122*$K$18</f>
        <v>-0.105346025035472</v>
      </c>
      <c r="L122" s="323" t="n">
        <f aca="false">+J122*$L$18</f>
        <v>-0.0150494321479245</v>
      </c>
      <c r="M122" s="320" t="n">
        <f aca="false">+J122+K122+L122</f>
        <v>-3.1302818867683</v>
      </c>
    </row>
    <row r="123" customFormat="false" ht="12.75" hidden="false" customHeight="false" outlineLevel="0" collapsed="false">
      <c r="A123" s="319" t="n">
        <v>105</v>
      </c>
      <c r="B123" s="207" t="n">
        <f aca="false">+B122+E123</f>
        <v>46109.3358630093</v>
      </c>
      <c r="C123" s="323" t="n">
        <f aca="false">+$D$11-D123</f>
        <v>236.329898985681</v>
      </c>
      <c r="D123" s="323" t="n">
        <f aca="false">+H122*$B$9/360*E123</f>
        <v>-48.9297829303902</v>
      </c>
      <c r="E123" s="208" t="n">
        <v>30</v>
      </c>
      <c r="F123" s="323" t="n">
        <f aca="false">+C123+D123</f>
        <v>187.400116055291</v>
      </c>
      <c r="G123" s="324" t="n">
        <f aca="false">+F123+M123</f>
        <v>184.085193161447</v>
      </c>
      <c r="H123" s="320" t="n">
        <f aca="false">+H122-C123</f>
        <v>-4430.31129301913</v>
      </c>
      <c r="J123" s="325" t="n">
        <f aca="false">+H122*$J$18</f>
        <v>-3.18742585946542</v>
      </c>
      <c r="K123" s="323" t="n">
        <f aca="false">+J123*$K$18</f>
        <v>-0.11155990508129</v>
      </c>
      <c r="L123" s="323" t="n">
        <f aca="false">+J123*$L$18</f>
        <v>-0.0159371292973271</v>
      </c>
      <c r="M123" s="320" t="n">
        <f aca="false">+J123+K123+L123</f>
        <v>-3.31492289384404</v>
      </c>
    </row>
    <row r="124" customFormat="false" ht="12.75" hidden="false" customHeight="false" outlineLevel="0" collapsed="false">
      <c r="A124" s="319" t="n">
        <v>106</v>
      </c>
      <c r="B124" s="207" t="n">
        <f aca="false">+B123+E124</f>
        <v>46139.3358630093</v>
      </c>
      <c r="C124" s="323" t="n">
        <f aca="false">+$D$11-D124</f>
        <v>239.087081140514</v>
      </c>
      <c r="D124" s="323" t="n">
        <f aca="false">+H123*$B$9/360*E124</f>
        <v>-51.6869650852232</v>
      </c>
      <c r="E124" s="208" t="n">
        <v>30</v>
      </c>
      <c r="F124" s="323" t="n">
        <f aca="false">+C124+D124</f>
        <v>187.400116055291</v>
      </c>
      <c r="G124" s="324" t="n">
        <f aca="false">+F124+M124</f>
        <v>183.898398009289</v>
      </c>
      <c r="H124" s="320" t="n">
        <f aca="false">+H123-C124</f>
        <v>-4669.39837415964</v>
      </c>
      <c r="J124" s="325" t="n">
        <f aca="false">+H123*$J$18</f>
        <v>-3.36703658269454</v>
      </c>
      <c r="K124" s="323" t="n">
        <f aca="false">+J124*$K$18</f>
        <v>-0.117846280394309</v>
      </c>
      <c r="L124" s="323" t="n">
        <f aca="false">+J124*$L$18</f>
        <v>-0.0168351829134727</v>
      </c>
      <c r="M124" s="320" t="n">
        <f aca="false">+J124+K124+L124</f>
        <v>-3.50171804600232</v>
      </c>
    </row>
    <row r="125" customFormat="false" ht="12.75" hidden="false" customHeight="false" outlineLevel="0" collapsed="false">
      <c r="A125" s="319" t="n">
        <v>107</v>
      </c>
      <c r="B125" s="207" t="n">
        <f aca="false">+B124+E125</f>
        <v>46169.3358630093</v>
      </c>
      <c r="C125" s="323" t="n">
        <f aca="false">+$D$11-D125</f>
        <v>241.876430420487</v>
      </c>
      <c r="D125" s="323" t="n">
        <f aca="false">+H124*$B$9/360*E125</f>
        <v>-54.4763143651958</v>
      </c>
      <c r="E125" s="208" t="n">
        <v>30</v>
      </c>
      <c r="F125" s="323" t="n">
        <f aca="false">+C125+D125</f>
        <v>187.400116055291</v>
      </c>
      <c r="G125" s="324" t="n">
        <f aca="false">+F125+M125</f>
        <v>183.709423580355</v>
      </c>
      <c r="H125" s="320" t="n">
        <f aca="false">+H124-C125</f>
        <v>-4911.27480458013</v>
      </c>
      <c r="J125" s="325" t="n">
        <f aca="false">+H124*$J$18</f>
        <v>-3.54874276436133</v>
      </c>
      <c r="K125" s="323" t="n">
        <f aca="false">+J125*$K$18</f>
        <v>-0.124205996752646</v>
      </c>
      <c r="L125" s="323" t="n">
        <f aca="false">+J125*$L$18</f>
        <v>-0.0177437138218066</v>
      </c>
      <c r="M125" s="320" t="n">
        <f aca="false">+J125+K125+L125</f>
        <v>-3.69069247493578</v>
      </c>
    </row>
    <row r="126" customFormat="false" ht="12.75" hidden="false" customHeight="false" outlineLevel="0" collapsed="false">
      <c r="A126" s="319" t="n">
        <v>108</v>
      </c>
      <c r="B126" s="207" t="n">
        <f aca="true">NOW()</f>
        <v>46079.3358630093</v>
      </c>
      <c r="C126" s="323" t="n">
        <f aca="false">+$D$11-D126</f>
        <v>244.698322108726</v>
      </c>
      <c r="D126" s="323" t="n">
        <f aca="false">+H125*$B$9/360*E126</f>
        <v>-57.2982060534348</v>
      </c>
      <c r="E126" s="208" t="n">
        <v>30</v>
      </c>
      <c r="F126" s="323" t="n">
        <f aca="false">+C126+D126</f>
        <v>187.400116055291</v>
      </c>
      <c r="G126" s="324" t="n">
        <f aca="false">+F126+M126</f>
        <v>183.518244449751</v>
      </c>
      <c r="H126" s="320" t="n">
        <f aca="false">+H125-C126</f>
        <v>-5155.97312668885</v>
      </c>
      <c r="J126" s="325" t="n">
        <f aca="false">+H125*$J$18</f>
        <v>-3.7325688514809</v>
      </c>
      <c r="K126" s="323" t="n">
        <f aca="false">+J126*$K$18</f>
        <v>-0.130639909801831</v>
      </c>
      <c r="L126" s="323" t="n">
        <f aca="false">+J126*$L$18</f>
        <v>-0.0186628442574045</v>
      </c>
      <c r="M126" s="320" t="n">
        <f aca="false">+J126+K126+L126</f>
        <v>-3.88187160554013</v>
      </c>
    </row>
    <row r="127" customFormat="false" ht="12.75" hidden="false" customHeight="false" outlineLevel="0" collapsed="false">
      <c r="A127" s="319" t="n">
        <v>109</v>
      </c>
      <c r="B127" s="207" t="n">
        <f aca="false">+B126+E127</f>
        <v>46109.3358630093</v>
      </c>
      <c r="C127" s="323" t="n">
        <f aca="false">+$D$11-D127</f>
        <v>247.553135866661</v>
      </c>
      <c r="D127" s="323" t="n">
        <f aca="false">+H126*$B$9/360*E127</f>
        <v>-60.1530198113699</v>
      </c>
      <c r="E127" s="208" t="n">
        <v>30</v>
      </c>
      <c r="F127" s="323" t="n">
        <f aca="false">+C127+D127</f>
        <v>187.400116055291</v>
      </c>
      <c r="G127" s="324" t="n">
        <f aca="false">+F127+M127</f>
        <v>183.324834895956</v>
      </c>
      <c r="H127" s="320" t="n">
        <f aca="false">+H126-C127</f>
        <v>-5403.52626255551</v>
      </c>
      <c r="J127" s="325" t="n">
        <f aca="false">+H126*$J$18</f>
        <v>-3.91853957628353</v>
      </c>
      <c r="K127" s="323" t="n">
        <f aca="false">+J127*$K$18</f>
        <v>-0.137148885169924</v>
      </c>
      <c r="L127" s="323" t="n">
        <f aca="false">+J127*$L$18</f>
        <v>-0.0195926978814176</v>
      </c>
      <c r="M127" s="320" t="n">
        <f aca="false">+J127+K127+L127</f>
        <v>-4.07528115933487</v>
      </c>
    </row>
    <row r="128" customFormat="false" ht="12.75" hidden="false" customHeight="false" outlineLevel="0" collapsed="false">
      <c r="A128" s="319" t="n">
        <v>110</v>
      </c>
      <c r="B128" s="207" t="n">
        <f aca="false">+B127+E128</f>
        <v>46139.3358630093</v>
      </c>
      <c r="C128" s="323" t="n">
        <f aca="false">+$D$11-D128</f>
        <v>250.441255785105</v>
      </c>
      <c r="D128" s="323" t="n">
        <f aca="false">+H127*$B$9/360*E128</f>
        <v>-63.0411397298143</v>
      </c>
      <c r="E128" s="208" t="n">
        <v>30</v>
      </c>
      <c r="F128" s="323" t="n">
        <f aca="false">+C128+D128</f>
        <v>187.400116055291</v>
      </c>
      <c r="G128" s="324" t="n">
        <f aca="false">+F128+M128</f>
        <v>183.129168897367</v>
      </c>
      <c r="H128" s="320" t="n">
        <f aca="false">+H127-C128</f>
        <v>-5653.96751834062</v>
      </c>
      <c r="J128" s="325" t="n">
        <f aca="false">+H127*$J$18</f>
        <v>-4.10667995954219</v>
      </c>
      <c r="K128" s="323" t="n">
        <f aca="false">+J128*$K$18</f>
        <v>-0.143733798583977</v>
      </c>
      <c r="L128" s="323" t="n">
        <f aca="false">+J128*$L$18</f>
        <v>-0.020533399797711</v>
      </c>
      <c r="M128" s="320" t="n">
        <f aca="false">+J128+K128+L128</f>
        <v>-4.27094715792388</v>
      </c>
    </row>
    <row r="129" customFormat="false" ht="12.75" hidden="false" customHeight="false" outlineLevel="0" collapsed="false">
      <c r="A129" s="319" t="n">
        <v>111</v>
      </c>
      <c r="B129" s="207" t="n">
        <f aca="false">+B128+E129</f>
        <v>46169.3358630093</v>
      </c>
      <c r="C129" s="323" t="n">
        <f aca="false">+$D$11-D129</f>
        <v>253.363070435931</v>
      </c>
      <c r="D129" s="323" t="n">
        <f aca="false">+H128*$B$9/360*E129</f>
        <v>-65.9629543806406</v>
      </c>
      <c r="E129" s="208" t="n">
        <v>30</v>
      </c>
      <c r="F129" s="323" t="n">
        <f aca="false">+C129+D129</f>
        <v>187.400116055291</v>
      </c>
      <c r="G129" s="324" t="n">
        <f aca="false">+F129+M129</f>
        <v>182.931220128794</v>
      </c>
      <c r="H129" s="320" t="n">
        <f aca="false">+H128-C129</f>
        <v>-5907.33058877655</v>
      </c>
      <c r="J129" s="325" t="n">
        <f aca="false">+H128*$J$18</f>
        <v>-4.29701531393887</v>
      </c>
      <c r="K129" s="323" t="n">
        <f aca="false">+J129*$K$18</f>
        <v>-0.150395535987861</v>
      </c>
      <c r="L129" s="323" t="n">
        <f aca="false">+J129*$L$18</f>
        <v>-0.0214850765696944</v>
      </c>
      <c r="M129" s="320" t="n">
        <f aca="false">+J129+K129+L129</f>
        <v>-4.46889592649643</v>
      </c>
    </row>
    <row r="130" customFormat="false" ht="12.75" hidden="false" customHeight="false" outlineLevel="0" collapsed="false">
      <c r="A130" s="319" t="n">
        <v>112</v>
      </c>
      <c r="B130" s="207" t="n">
        <f aca="true">NOW()</f>
        <v>46079.3358630093</v>
      </c>
      <c r="C130" s="323" t="n">
        <f aca="false">+$D$11-D130</f>
        <v>256.318972924351</v>
      </c>
      <c r="D130" s="323" t="n">
        <f aca="false">+H129*$B$9/360*E130</f>
        <v>-68.9188568690598</v>
      </c>
      <c r="E130" s="208" t="n">
        <v>30</v>
      </c>
      <c r="F130" s="323" t="n">
        <f aca="false">+C130+D130</f>
        <v>187.400116055291</v>
      </c>
      <c r="G130" s="324" t="n">
        <f aca="false">+F130+M130</f>
        <v>182.730961957922</v>
      </c>
      <c r="H130" s="320" t="n">
        <f aca="false">+H129-C130</f>
        <v>-6163.6495617009</v>
      </c>
      <c r="J130" s="325" t="n">
        <f aca="false">+H129*$J$18</f>
        <v>-4.48957124747018</v>
      </c>
      <c r="K130" s="323" t="n">
        <f aca="false">+J130*$K$18</f>
        <v>-0.157134993661456</v>
      </c>
      <c r="L130" s="323" t="n">
        <f aca="false">+J130*$L$18</f>
        <v>-0.0224478562373509</v>
      </c>
      <c r="M130" s="320" t="n">
        <f aca="false">+J130+K130+L130</f>
        <v>-4.66915409736899</v>
      </c>
    </row>
    <row r="131" customFormat="false" ht="12.75" hidden="false" customHeight="false" outlineLevel="0" collapsed="false">
      <c r="A131" s="319" t="n">
        <v>113</v>
      </c>
      <c r="B131" s="207" t="n">
        <f aca="false">+B130+E131</f>
        <v>46109.3358630093</v>
      </c>
      <c r="C131" s="323" t="n">
        <f aca="false">+$D$11-D131</f>
        <v>259.309360941801</v>
      </c>
      <c r="D131" s="323" t="n">
        <f aca="false">+H130*$B$9/360*E131</f>
        <v>-71.9092448865105</v>
      </c>
      <c r="E131" s="208" t="n">
        <v>30</v>
      </c>
      <c r="F131" s="323" t="n">
        <f aca="false">+C131+D131</f>
        <v>187.400116055291</v>
      </c>
      <c r="G131" s="324" t="n">
        <f aca="false">+F131+M131</f>
        <v>182.528367441722</v>
      </c>
      <c r="H131" s="320" t="n">
        <f aca="false">+H130-C131</f>
        <v>-6422.9589226427</v>
      </c>
      <c r="J131" s="325" t="n">
        <f aca="false">+H130*$J$18</f>
        <v>-4.68437366689269</v>
      </c>
      <c r="K131" s="323" t="n">
        <f aca="false">+J131*$K$18</f>
        <v>-0.163953078341244</v>
      </c>
      <c r="L131" s="323" t="n">
        <f aca="false">+J131*$L$18</f>
        <v>-0.0234218683344634</v>
      </c>
      <c r="M131" s="320" t="n">
        <f aca="false">+J131+K131+L131</f>
        <v>-4.87174861356839</v>
      </c>
    </row>
    <row r="132" customFormat="false" ht="12.75" hidden="false" customHeight="false" outlineLevel="0" collapsed="false">
      <c r="A132" s="319" t="n">
        <v>114</v>
      </c>
      <c r="B132" s="207" t="n">
        <f aca="false">+B131+E132</f>
        <v>46139.3358630093</v>
      </c>
      <c r="C132" s="323" t="n">
        <f aca="false">+$D$11-D132</f>
        <v>262.334636819456</v>
      </c>
      <c r="D132" s="323" t="n">
        <f aca="false">+H131*$B$9/360*E132</f>
        <v>-74.9345207641649</v>
      </c>
      <c r="E132" s="208" t="n">
        <v>30</v>
      </c>
      <c r="F132" s="323" t="n">
        <f aca="false">+C132+D132</f>
        <v>187.400116055291</v>
      </c>
      <c r="G132" s="324" t="n">
        <f aca="false">+F132+M132</f>
        <v>182.323409322834</v>
      </c>
      <c r="H132" s="320" t="n">
        <f aca="false">+H131-C132</f>
        <v>-6685.29355946216</v>
      </c>
      <c r="J132" s="325" t="n">
        <f aca="false">+H131*$J$18</f>
        <v>-4.88144878120845</v>
      </c>
      <c r="K132" s="323" t="n">
        <f aca="false">+J132*$K$18</f>
        <v>-0.170850707342296</v>
      </c>
      <c r="L132" s="323" t="n">
        <f aca="false">+J132*$L$18</f>
        <v>-0.0244072439060423</v>
      </c>
      <c r="M132" s="320" t="n">
        <f aca="false">+J132+K132+L132</f>
        <v>-5.07670673245679</v>
      </c>
    </row>
    <row r="133" customFormat="false" ht="12.75" hidden="false" customHeight="false" outlineLevel="0" collapsed="false">
      <c r="A133" s="319" t="n">
        <v>115</v>
      </c>
      <c r="B133" s="207" t="n">
        <f aca="false">+B132+E133</f>
        <v>46169.3358630093</v>
      </c>
      <c r="C133" s="323" t="n">
        <f aca="false">+$D$11-D133</f>
        <v>265.395207582349</v>
      </c>
      <c r="D133" s="323" t="n">
        <f aca="false">+H132*$B$9/360*E133</f>
        <v>-77.9950915270585</v>
      </c>
      <c r="E133" s="208" t="n">
        <v>30</v>
      </c>
      <c r="F133" s="323" t="n">
        <f aca="false">+C133+D133</f>
        <v>187.400116055291</v>
      </c>
      <c r="G133" s="324" t="n">
        <f aca="false">+F133+M133</f>
        <v>182.116060025892</v>
      </c>
      <c r="H133" s="320" t="n">
        <f aca="false">+H132-C133</f>
        <v>-6950.68876704451</v>
      </c>
      <c r="J133" s="325" t="n">
        <f aca="false">+H132*$J$18</f>
        <v>-5.08082310519124</v>
      </c>
      <c r="K133" s="323" t="n">
        <f aca="false">+J133*$K$18</f>
        <v>-0.177828808681693</v>
      </c>
      <c r="L133" s="323" t="n">
        <f aca="false">+J133*$L$18</f>
        <v>-0.0254041155259562</v>
      </c>
      <c r="M133" s="320" t="n">
        <f aca="false">+J133+K133+L133</f>
        <v>-5.28405602939889</v>
      </c>
    </row>
    <row r="134" customFormat="false" ht="12.75" hidden="false" customHeight="false" outlineLevel="0" collapsed="false">
      <c r="A134" s="319" t="n">
        <v>116</v>
      </c>
      <c r="B134" s="207" t="n">
        <f aca="true">NOW()</f>
        <v>46079.3358630093</v>
      </c>
      <c r="C134" s="323" t="n">
        <f aca="false">+$D$11-D134</f>
        <v>268.491485004144</v>
      </c>
      <c r="D134" s="323" t="n">
        <f aca="false">+H133*$B$9/360*E134</f>
        <v>-81.0913689488526</v>
      </c>
      <c r="E134" s="208" t="n">
        <v>30</v>
      </c>
      <c r="F134" s="323" t="n">
        <f aca="false">+C134+D134</f>
        <v>187.400116055291</v>
      </c>
      <c r="G134" s="324" t="n">
        <f aca="false">+F134+M134</f>
        <v>181.906291653819</v>
      </c>
      <c r="H134" s="320" t="n">
        <f aca="false">+H133-C134</f>
        <v>-7219.18025204865</v>
      </c>
      <c r="J134" s="325" t="n">
        <f aca="false">+H133*$J$18</f>
        <v>-5.28252346295383</v>
      </c>
      <c r="K134" s="323" t="n">
        <f aca="false">+J134*$K$18</f>
        <v>-0.184888321203384</v>
      </c>
      <c r="L134" s="323" t="n">
        <f aca="false">+J134*$L$18</f>
        <v>-0.0264126173147691</v>
      </c>
      <c r="M134" s="320" t="n">
        <f aca="false">+J134+K134+L134</f>
        <v>-5.49382440147198</v>
      </c>
    </row>
    <row r="135" customFormat="false" ht="12.75" hidden="false" customHeight="false" outlineLevel="0" collapsed="false">
      <c r="A135" s="319" t="n">
        <v>117</v>
      </c>
      <c r="B135" s="207" t="n">
        <f aca="false">+B134+E135</f>
        <v>46109.3358630093</v>
      </c>
      <c r="C135" s="323" t="n">
        <f aca="false">+$D$11-D135</f>
        <v>271.623885662525</v>
      </c>
      <c r="D135" s="323" t="n">
        <f aca="false">+H134*$B$9/360*E135</f>
        <v>-84.2237696072343</v>
      </c>
      <c r="E135" s="208" t="n">
        <v>30</v>
      </c>
      <c r="F135" s="323" t="n">
        <f aca="false">+C135+D135</f>
        <v>187.400116055291</v>
      </c>
      <c r="G135" s="324" t="n">
        <f aca="false">+F135+M135</f>
        <v>181.694075984072</v>
      </c>
      <c r="H135" s="320" t="n">
        <f aca="false">+H134-C135</f>
        <v>-7490.80413771118</v>
      </c>
      <c r="J135" s="325" t="n">
        <f aca="false">+H134*$J$18</f>
        <v>-5.48657699155698</v>
      </c>
      <c r="K135" s="323" t="n">
        <f aca="false">+J135*$K$18</f>
        <v>-0.192030194704494</v>
      </c>
      <c r="L135" s="323" t="n">
        <f aca="false">+J135*$L$18</f>
        <v>-0.0274328849577849</v>
      </c>
      <c r="M135" s="320" t="n">
        <f aca="false">+J135+K135+L135</f>
        <v>-5.70604007121925</v>
      </c>
    </row>
    <row r="136" customFormat="false" ht="12.75" hidden="false" customHeight="false" outlineLevel="0" collapsed="false">
      <c r="A136" s="319" t="n">
        <v>118</v>
      </c>
      <c r="B136" s="207" t="n">
        <f aca="false">+B135+E136</f>
        <v>46139.3358630093</v>
      </c>
      <c r="C136" s="323" t="n">
        <f aca="false">+$D$11-D136</f>
        <v>274.792830995255</v>
      </c>
      <c r="D136" s="323" t="n">
        <f aca="false">+H135*$B$9/360*E136</f>
        <v>-87.3927149399637</v>
      </c>
      <c r="E136" s="208" t="n">
        <v>30</v>
      </c>
      <c r="F136" s="323" t="n">
        <f aca="false">+C136+D136</f>
        <v>187.400116055291</v>
      </c>
      <c r="G136" s="324" t="n">
        <f aca="false">+F136+M136</f>
        <v>181.479384464844</v>
      </c>
      <c r="H136" s="320" t="n">
        <f aca="false">+H135-C136</f>
        <v>-7765.59696870643</v>
      </c>
      <c r="J136" s="325" t="n">
        <f aca="false">+H135*$J$18</f>
        <v>-5.69301114466049</v>
      </c>
      <c r="K136" s="323" t="n">
        <f aca="false">+J136*$K$18</f>
        <v>-0.199255390063117</v>
      </c>
      <c r="L136" s="323" t="n">
        <f aca="false">+J136*$L$18</f>
        <v>-0.0284650557233025</v>
      </c>
      <c r="M136" s="320" t="n">
        <f aca="false">+J136+K136+L136</f>
        <v>-5.92073159044691</v>
      </c>
    </row>
    <row r="137" customFormat="false" ht="12.75" hidden="false" customHeight="false" outlineLevel="0" collapsed="false">
      <c r="A137" s="319" t="n">
        <v>119</v>
      </c>
      <c r="B137" s="207" t="n">
        <f aca="false">+B136+E137</f>
        <v>46169.3358630093</v>
      </c>
      <c r="C137" s="323" t="n">
        <f aca="false">+$D$11-D137</f>
        <v>277.998747356866</v>
      </c>
      <c r="D137" s="323" t="n">
        <f aca="false">+H136*$B$9/360*E137</f>
        <v>-90.598631301575</v>
      </c>
      <c r="E137" s="208" t="n">
        <v>30</v>
      </c>
      <c r="F137" s="323" t="n">
        <f aca="false">+C137+D137</f>
        <v>187.400116055291</v>
      </c>
      <c r="G137" s="324" t="n">
        <f aca="false">+F137+M137</f>
        <v>181.262188211225</v>
      </c>
      <c r="H137" s="320" t="n">
        <f aca="false">+H136-C137</f>
        <v>-8043.5957160633</v>
      </c>
      <c r="J137" s="325" t="n">
        <f aca="false">+H136*$J$18</f>
        <v>-5.90185369621689</v>
      </c>
      <c r="K137" s="323" t="n">
        <f aca="false">+J137*$K$18</f>
        <v>-0.206564879367591</v>
      </c>
      <c r="L137" s="323" t="n">
        <f aca="false">+J137*$L$18</f>
        <v>-0.0295092684810844</v>
      </c>
      <c r="M137" s="320" t="n">
        <f aca="false">+J137+K137+L137</f>
        <v>-6.13792784406556</v>
      </c>
    </row>
    <row r="138" customFormat="false" ht="12.75" hidden="false" customHeight="false" outlineLevel="0" collapsed="false">
      <c r="A138" s="319" t="n">
        <v>120</v>
      </c>
      <c r="B138" s="207" t="n">
        <f aca="true">NOW()</f>
        <v>46079.3358630093</v>
      </c>
      <c r="C138" s="323" t="n">
        <f aca="false">+$D$11-D138</f>
        <v>281.242066076029</v>
      </c>
      <c r="D138" s="323" t="n">
        <f aca="false">+H137*$B$9/360*E138</f>
        <v>-93.8419500207385</v>
      </c>
      <c r="E138" s="208" t="n">
        <v>30</v>
      </c>
      <c r="F138" s="323" t="n">
        <f aca="false">+C138+D138</f>
        <v>187.400116055291</v>
      </c>
      <c r="G138" s="324" t="n">
        <f aca="false">+F138+M138</f>
        <v>181.042458001314</v>
      </c>
      <c r="H138" s="320" t="n">
        <f aca="false">+H137-C138</f>
        <v>-8324.83778213933</v>
      </c>
      <c r="J138" s="325" t="n">
        <f aca="false">+H137*$J$18</f>
        <v>-6.11313274420811</v>
      </c>
      <c r="K138" s="323" t="n">
        <f aca="false">+J138*$K$18</f>
        <v>-0.213959646047284</v>
      </c>
      <c r="L138" s="323" t="n">
        <f aca="false">+J138*$L$18</f>
        <v>-0.0305656637210405</v>
      </c>
      <c r="M138" s="320" t="n">
        <f aca="false">+J138+K138+L138</f>
        <v>-6.35765805397643</v>
      </c>
    </row>
    <row r="139" customFormat="false" ht="12.75" hidden="false" customHeight="false" outlineLevel="0" collapsed="false">
      <c r="A139" s="319" t="n">
        <v>121</v>
      </c>
      <c r="B139" s="207" t="n">
        <f aca="false">+B138+E139</f>
        <v>46109.3358630093</v>
      </c>
      <c r="C139" s="323" t="n">
        <f aca="false">+$D$11-D139</f>
        <v>284.523223513583</v>
      </c>
      <c r="D139" s="323" t="n">
        <f aca="false">+H138*$B$9/360*E139</f>
        <v>-97.1231074582922</v>
      </c>
      <c r="E139" s="208" t="n">
        <v>30</v>
      </c>
      <c r="F139" s="323" t="n">
        <f aca="false">+C139+D139</f>
        <v>187.400116055291</v>
      </c>
      <c r="G139" s="324" t="n">
        <f aca="false">+F139+M139</f>
        <v>180.820164272288</v>
      </c>
      <c r="H139" s="320" t="n">
        <f aca="false">+H138-C139</f>
        <v>-8609.36100565291</v>
      </c>
      <c r="J139" s="325" t="n">
        <f aca="false">+H138*$J$18</f>
        <v>-6.32687671442589</v>
      </c>
      <c r="K139" s="323" t="n">
        <f aca="false">+J139*$K$18</f>
        <v>-0.221440685004906</v>
      </c>
      <c r="L139" s="323" t="n">
        <f aca="false">+J139*$L$18</f>
        <v>-0.0316343835721294</v>
      </c>
      <c r="M139" s="320" t="n">
        <f aca="false">+J139+K139+L139</f>
        <v>-6.57995178300292</v>
      </c>
    </row>
    <row r="140" customFormat="false" ht="12.75" hidden="false" customHeight="false" outlineLevel="0" collapsed="false">
      <c r="A140" s="319" t="n">
        <v>122</v>
      </c>
      <c r="B140" s="207" t="n">
        <f aca="false">+B139+E140</f>
        <v>46139.3358630093</v>
      </c>
      <c r="C140" s="323" t="n">
        <f aca="false">+$D$11-D140</f>
        <v>287.842661121242</v>
      </c>
      <c r="D140" s="323" t="n">
        <f aca="false">+H139*$B$9/360*E140</f>
        <v>-100.442545065951</v>
      </c>
      <c r="E140" s="208" t="n">
        <v>30</v>
      </c>
      <c r="F140" s="323" t="n">
        <f aca="false">+C140+D140</f>
        <v>187.400116055291</v>
      </c>
      <c r="G140" s="324" t="n">
        <f aca="false">+F140+M140</f>
        <v>180.595277116423</v>
      </c>
      <c r="H140" s="320" t="n">
        <f aca="false">+H139-C140</f>
        <v>-8897.20366677415</v>
      </c>
      <c r="J140" s="325" t="n">
        <f aca="false">+H139*$J$18</f>
        <v>-6.54311436429621</v>
      </c>
      <c r="K140" s="323" t="n">
        <f aca="false">+J140*$K$18</f>
        <v>-0.229009002750367</v>
      </c>
      <c r="L140" s="323" t="n">
        <f aca="false">+J140*$L$18</f>
        <v>-0.0327155718214811</v>
      </c>
      <c r="M140" s="320" t="n">
        <f aca="false">+J140+K140+L140</f>
        <v>-6.80483893886806</v>
      </c>
    </row>
    <row r="141" customFormat="false" ht="12.75" hidden="false" customHeight="false" outlineLevel="0" collapsed="false">
      <c r="A141" s="319" t="n">
        <v>123</v>
      </c>
      <c r="B141" s="207" t="n">
        <f aca="false">+B140+E141</f>
        <v>46169.3358630093</v>
      </c>
      <c r="C141" s="323" t="n">
        <f aca="false">+$D$11-D141</f>
        <v>291.200825500989</v>
      </c>
      <c r="D141" s="323" t="n">
        <f aca="false">+H140*$B$9/360*E141</f>
        <v>-103.800709445698</v>
      </c>
      <c r="E141" s="208" t="n">
        <v>30</v>
      </c>
      <c r="F141" s="323" t="n">
        <f aca="false">+C141+D141</f>
        <v>187.400116055291</v>
      </c>
      <c r="G141" s="324" t="n">
        <f aca="false">+F141+M141</f>
        <v>180.367766277073</v>
      </c>
      <c r="H141" s="320" t="n">
        <f aca="false">+H140-C141</f>
        <v>-9188.40449227514</v>
      </c>
      <c r="J141" s="325" t="n">
        <f aca="false">+H140*$J$18</f>
        <v>-6.76187478674836</v>
      </c>
      <c r="K141" s="323" t="n">
        <f aca="false">+J141*$K$18</f>
        <v>-0.236665617536192</v>
      </c>
      <c r="L141" s="323" t="n">
        <f aca="false">+J141*$L$18</f>
        <v>-0.0338093739337418</v>
      </c>
      <c r="M141" s="320" t="n">
        <f aca="false">+J141+K141+L141</f>
        <v>-7.03234977821829</v>
      </c>
    </row>
    <row r="142" customFormat="false" ht="12.75" hidden="false" customHeight="false" outlineLevel="0" collapsed="false">
      <c r="A142" s="319" t="n">
        <v>124</v>
      </c>
      <c r="B142" s="207" t="n">
        <f aca="true">NOW()</f>
        <v>46079.3358630093</v>
      </c>
      <c r="C142" s="323" t="n">
        <f aca="false">+$D$11-D142</f>
        <v>294.598168465168</v>
      </c>
      <c r="D142" s="323" t="n">
        <f aca="false">+H141*$B$9/360*E142</f>
        <v>-107.198052409877</v>
      </c>
      <c r="E142" s="208" t="n">
        <v>30</v>
      </c>
      <c r="F142" s="323" t="n">
        <f aca="false">+C142+D142</f>
        <v>187.400116055291</v>
      </c>
      <c r="G142" s="324" t="n">
        <f aca="false">+F142+M142</f>
        <v>180.137601144597</v>
      </c>
      <c r="H142" s="320" t="n">
        <f aca="false">+H141-C142</f>
        <v>-9483.00266074031</v>
      </c>
      <c r="J142" s="325" t="n">
        <f aca="false">+H141*$J$18</f>
        <v>-6.98318741412911</v>
      </c>
      <c r="K142" s="323" t="n">
        <f aca="false">+J142*$K$18</f>
        <v>-0.244411559494519</v>
      </c>
      <c r="L142" s="323" t="n">
        <f aca="false">+J142*$L$18</f>
        <v>-0.0349159370706455</v>
      </c>
      <c r="M142" s="320" t="n">
        <f aca="false">+J142+K142+L142</f>
        <v>-7.26251491069427</v>
      </c>
    </row>
    <row r="143" customFormat="false" ht="12.75" hidden="false" customHeight="false" outlineLevel="0" collapsed="false">
      <c r="A143" s="319" t="n">
        <v>125</v>
      </c>
      <c r="B143" s="207" t="n">
        <f aca="true">NOW()</f>
        <v>46079.3358630093</v>
      </c>
      <c r="C143" s="323" t="n">
        <f aca="false">+$D$11-D143</f>
        <v>298.035147097261</v>
      </c>
      <c r="D143" s="323" t="n">
        <f aca="false">+H142*$B$9/360*E143</f>
        <v>-110.63503104197</v>
      </c>
      <c r="E143" s="208" t="n">
        <v>30</v>
      </c>
      <c r="F143" s="323" t="n">
        <f aca="false">+C143+D143</f>
        <v>187.400116055291</v>
      </c>
      <c r="G143" s="324" t="n">
        <f aca="false">+F143+M143</f>
        <v>179.904750752242</v>
      </c>
      <c r="H143" s="320" t="n">
        <f aca="false">+H142-C143</f>
        <v>-9781.03780783757</v>
      </c>
      <c r="J143" s="325" t="n">
        <f aca="false">+H142*$J$18</f>
        <v>-7.20708202216263</v>
      </c>
      <c r="K143" s="323" t="n">
        <f aca="false">+J143*$K$18</f>
        <v>-0.252247870775692</v>
      </c>
      <c r="L143" s="323" t="n">
        <f aca="false">+J143*$L$18</f>
        <v>-0.0360354101108132</v>
      </c>
      <c r="M143" s="320" t="n">
        <f aca="false">+J143+K143+L143</f>
        <v>-7.49536530304914</v>
      </c>
    </row>
    <row r="144" customFormat="false" ht="12.75" hidden="false" customHeight="false" outlineLevel="0" collapsed="false">
      <c r="A144" s="319" t="n">
        <v>126</v>
      </c>
      <c r="B144" s="207" t="n">
        <f aca="false">+B143+E144</f>
        <v>46109.3358630093</v>
      </c>
      <c r="C144" s="323" t="n">
        <f aca="false">+$D$11-D144</f>
        <v>301.512223813396</v>
      </c>
      <c r="D144" s="323" t="n">
        <f aca="false">+H143*$B$9/360*E144</f>
        <v>-114.112107758105</v>
      </c>
      <c r="E144" s="208" t="n">
        <v>30</v>
      </c>
      <c r="F144" s="323" t="n">
        <f aca="false">+C144+D144</f>
        <v>187.400116055291</v>
      </c>
      <c r="G144" s="324" t="n">
        <f aca="false">+F144+M144</f>
        <v>179.669183771976</v>
      </c>
      <c r="H144" s="320" t="n">
        <f aca="false">+H143-C144</f>
        <v>-10082.550031651</v>
      </c>
      <c r="J144" s="325" t="n">
        <f aca="false">+H143*$J$18</f>
        <v>-7.43358873395655</v>
      </c>
      <c r="K144" s="323" t="n">
        <f aca="false">+J144*$K$18</f>
        <v>-0.260175605688479</v>
      </c>
      <c r="L144" s="323" t="n">
        <f aca="false">+J144*$L$18</f>
        <v>-0.0371679436697828</v>
      </c>
      <c r="M144" s="320" t="n">
        <f aca="false">+J144+K144+L144</f>
        <v>-7.73093228331481</v>
      </c>
    </row>
    <row r="145" customFormat="false" ht="12.75" hidden="false" customHeight="false" outlineLevel="0" collapsed="false">
      <c r="A145" s="319" t="n">
        <v>127</v>
      </c>
      <c r="B145" s="207" t="n">
        <f aca="false">+B144+E145</f>
        <v>46139.3358630093</v>
      </c>
      <c r="C145" s="323" t="n">
        <f aca="false">+$D$11-D145</f>
        <v>305.029866424552</v>
      </c>
      <c r="D145" s="323" t="n">
        <f aca="false">+H144*$B$9/360*E145</f>
        <v>-117.629750369261</v>
      </c>
      <c r="E145" s="208" t="n">
        <v>30</v>
      </c>
      <c r="F145" s="323" t="n">
        <f aca="false">+C145+D145</f>
        <v>187.400116055291</v>
      </c>
      <c r="G145" s="324" t="n">
        <f aca="false">+F145+M145</f>
        <v>179.430868510274</v>
      </c>
      <c r="H145" s="320" t="n">
        <f aca="false">+H144-C145</f>
        <v>-10387.5798980755</v>
      </c>
      <c r="J145" s="325" t="n">
        <f aca="false">+H144*$J$18</f>
        <v>-7.66273802405473</v>
      </c>
      <c r="K145" s="323" t="n">
        <f aca="false">+J145*$K$18</f>
        <v>-0.268195830841916</v>
      </c>
      <c r="L145" s="323" t="n">
        <f aca="false">+J145*$L$18</f>
        <v>-0.0383136901202737</v>
      </c>
      <c r="M145" s="320" t="n">
        <f aca="false">+J145+K145+L145</f>
        <v>-7.96924754501692</v>
      </c>
    </row>
    <row r="146" customFormat="false" ht="12.75" hidden="false" customHeight="false" outlineLevel="0" collapsed="false">
      <c r="A146" s="319" t="n">
        <v>128</v>
      </c>
      <c r="B146" s="207" t="n">
        <f aca="false">+B145+E146</f>
        <v>46169.3358630093</v>
      </c>
      <c r="C146" s="323" t="n">
        <f aca="false">+$D$11-D146</f>
        <v>308.588548199505</v>
      </c>
      <c r="D146" s="323" t="n">
        <f aca="false">+H145*$B$9/360*E146</f>
        <v>-121.188432144214</v>
      </c>
      <c r="E146" s="208" t="n">
        <v>30</v>
      </c>
      <c r="F146" s="323" t="n">
        <f aca="false">+C146+D146</f>
        <v>187.400116055291</v>
      </c>
      <c r="G146" s="324" t="n">
        <f aca="false">+F146+M146</f>
        <v>179.189772903852</v>
      </c>
      <c r="H146" s="320" t="n">
        <f aca="false">+H145-C146</f>
        <v>-10696.168446275</v>
      </c>
      <c r="J146" s="325" t="n">
        <f aca="false">+H145*$J$18</f>
        <v>-7.89456072253739</v>
      </c>
      <c r="K146" s="323" t="n">
        <f aca="false">+J146*$K$18</f>
        <v>-0.276309625288809</v>
      </c>
      <c r="L146" s="323" t="n">
        <f aca="false">+J146*$L$18</f>
        <v>-0.039472803612687</v>
      </c>
      <c r="M146" s="320" t="n">
        <f aca="false">+J146+K146+L146</f>
        <v>-8.21034315143889</v>
      </c>
    </row>
    <row r="147" customFormat="false" ht="12.75" hidden="false" customHeight="false" outlineLevel="0" collapsed="false">
      <c r="A147" s="319" t="n">
        <v>129</v>
      </c>
      <c r="B147" s="207" t="n">
        <f aca="true">NOW()</f>
        <v>46079.3358630093</v>
      </c>
      <c r="C147" s="323" t="n">
        <f aca="false">+$D$11-D147</f>
        <v>312.1887479285</v>
      </c>
      <c r="D147" s="323" t="n">
        <f aca="false">+H146*$B$9/360*E147</f>
        <v>-124.788631873209</v>
      </c>
      <c r="E147" s="208" t="n">
        <v>30</v>
      </c>
      <c r="F147" s="323" t="n">
        <f aca="false">+C147+D147</f>
        <v>187.400116055291</v>
      </c>
      <c r="G147" s="324" t="n">
        <f aca="false">+F147+M147</f>
        <v>178.945864515355</v>
      </c>
      <c r="H147" s="320" t="n">
        <f aca="false">+H146-C147</f>
        <v>-11008.3571942035</v>
      </c>
      <c r="J147" s="325" t="n">
        <f aca="false">+H146*$J$18</f>
        <v>-8.12908801916902</v>
      </c>
      <c r="K147" s="323" t="n">
        <f aca="false">+J147*$K$18</f>
        <v>-0.284518080670916</v>
      </c>
      <c r="L147" s="323" t="n">
        <f aca="false">+J147*$L$18</f>
        <v>-0.0406454400958451</v>
      </c>
      <c r="M147" s="320" t="n">
        <f aca="false">+J147+K147+L147</f>
        <v>-8.45425153993578</v>
      </c>
    </row>
    <row r="148" customFormat="false" ht="12.75" hidden="false" customHeight="false" outlineLevel="0" collapsed="false">
      <c r="A148" s="319" t="n">
        <v>130</v>
      </c>
      <c r="B148" s="207" t="n">
        <f aca="false">+B147+E148</f>
        <v>46109.3358630093</v>
      </c>
      <c r="C148" s="323" t="n">
        <f aca="false">+$D$11-D148</f>
        <v>315.830949987665</v>
      </c>
      <c r="D148" s="323" t="n">
        <f aca="false">+H147*$B$9/360*E148</f>
        <v>-128.430833932374</v>
      </c>
      <c r="E148" s="208" t="n">
        <v>30</v>
      </c>
      <c r="F148" s="323" t="n">
        <f aca="false">+C148+D148</f>
        <v>187.400116055291</v>
      </c>
      <c r="G148" s="324" t="n">
        <f aca="false">+F148+M148</f>
        <v>178.699110528992</v>
      </c>
      <c r="H148" s="320" t="n">
        <f aca="false">+H147-C148</f>
        <v>-11324.1881441912</v>
      </c>
      <c r="J148" s="325" t="n">
        <f aca="false">+H147*$J$18</f>
        <v>-8.36635146759468</v>
      </c>
      <c r="K148" s="323" t="n">
        <f aca="false">+J148*$K$18</f>
        <v>-0.292822301365814</v>
      </c>
      <c r="L148" s="323" t="n">
        <f aca="false">+J148*$L$18</f>
        <v>-0.0418317573379734</v>
      </c>
      <c r="M148" s="320" t="n">
        <f aca="false">+J148+K148+L148</f>
        <v>-8.70100552629847</v>
      </c>
    </row>
    <row r="149" customFormat="false" ht="12.75" hidden="false" customHeight="false" outlineLevel="0" collapsed="false">
      <c r="A149" s="319" t="n">
        <v>131</v>
      </c>
      <c r="B149" s="207" t="n">
        <f aca="false">+B148+E149</f>
        <v>46139.3358630093</v>
      </c>
      <c r="C149" s="323" t="n">
        <f aca="false">+$D$11-D149</f>
        <v>319.515644404188</v>
      </c>
      <c r="D149" s="323" t="n">
        <f aca="false">+H148*$B$9/360*E149</f>
        <v>-132.115528348897</v>
      </c>
      <c r="E149" s="208" t="n">
        <v>30</v>
      </c>
      <c r="F149" s="323" t="n">
        <f aca="false">+C149+D149</f>
        <v>187.400116055291</v>
      </c>
      <c r="G149" s="324" t="n">
        <f aca="false">+F149+M149</f>
        <v>178.449477746122</v>
      </c>
      <c r="H149" s="320" t="n">
        <f aca="false">+H148-C149</f>
        <v>-11643.7037885954</v>
      </c>
      <c r="J149" s="325" t="n">
        <f aca="false">+H148*$J$18</f>
        <v>-8.6063829895853</v>
      </c>
      <c r="K149" s="323" t="n">
        <f aca="false">+J149*$K$18</f>
        <v>-0.301223404635486</v>
      </c>
      <c r="L149" s="323" t="n">
        <f aca="false">+J149*$L$18</f>
        <v>-0.0430319149479265</v>
      </c>
      <c r="M149" s="320" t="n">
        <f aca="false">+J149+K149+L149</f>
        <v>-8.95063830916872</v>
      </c>
    </row>
    <row r="150" customFormat="false" ht="12.75" hidden="false" customHeight="false" outlineLevel="0" collapsed="false">
      <c r="A150" s="319" t="n">
        <v>132</v>
      </c>
      <c r="B150" s="207" t="n">
        <f aca="false">+B149+E150</f>
        <v>46169.3358630093</v>
      </c>
      <c r="C150" s="323" t="n">
        <f aca="false">+$D$11-D150</f>
        <v>323.243326922237</v>
      </c>
      <c r="D150" s="323" t="n">
        <f aca="false">+H149*$B$9/360*E150</f>
        <v>-135.843210866946</v>
      </c>
      <c r="E150" s="208" t="n">
        <v>30</v>
      </c>
      <c r="F150" s="323" t="n">
        <f aca="false">+C150+D150</f>
        <v>187.400116055291</v>
      </c>
      <c r="G150" s="324" t="n">
        <f aca="false">+F150+M150</f>
        <v>178.196932580785</v>
      </c>
      <c r="H150" s="320" t="n">
        <f aca="false">+H149-C150</f>
        <v>-11966.9471155176</v>
      </c>
      <c r="J150" s="325" t="n">
        <f aca="false">+H149*$J$18</f>
        <v>-8.84921487933248</v>
      </c>
      <c r="K150" s="323" t="n">
        <f aca="false">+J150*$K$18</f>
        <v>-0.309722520776637</v>
      </c>
      <c r="L150" s="323" t="n">
        <f aca="false">+J150*$L$18</f>
        <v>-0.0442460743966624</v>
      </c>
      <c r="M150" s="320" t="n">
        <f aca="false">+J150+K150+L150</f>
        <v>-9.20318347450578</v>
      </c>
    </row>
    <row r="151" customFormat="false" ht="12.75" hidden="false" customHeight="false" outlineLevel="0" collapsed="false">
      <c r="A151" s="319" t="n">
        <v>133</v>
      </c>
      <c r="B151" s="207" t="n">
        <f aca="true">NOW()</f>
        <v>46079.3358630093</v>
      </c>
      <c r="C151" s="323" t="n">
        <f aca="false">+$D$11-D151</f>
        <v>327.014499069663</v>
      </c>
      <c r="D151" s="323" t="n">
        <f aca="false">+H150*$B$9/360*E151</f>
        <v>-139.614383014372</v>
      </c>
      <c r="E151" s="208" t="n">
        <v>30</v>
      </c>
      <c r="F151" s="323" t="n">
        <f aca="false">+C151+D151</f>
        <v>187.400116055291</v>
      </c>
      <c r="G151" s="324" t="n">
        <f aca="false">+F151+M151</f>
        <v>177.941441055186</v>
      </c>
      <c r="H151" s="320" t="n">
        <f aca="false">+H150-C151</f>
        <v>-12293.9616145873</v>
      </c>
      <c r="J151" s="325" t="n">
        <f aca="false">+H150*$J$18</f>
        <v>-9.09487980779339</v>
      </c>
      <c r="K151" s="323" t="n">
        <f aca="false">+J151*$K$18</f>
        <v>-0.318320793272769</v>
      </c>
      <c r="L151" s="323" t="n">
        <f aca="false">+J151*$L$18</f>
        <v>-0.0454743990389669</v>
      </c>
      <c r="M151" s="320" t="n">
        <f aca="false">+J151+K151+L151</f>
        <v>-9.45867500010512</v>
      </c>
    </row>
    <row r="152" customFormat="false" ht="12.75" hidden="false" customHeight="false" outlineLevel="0" collapsed="false">
      <c r="A152" s="319" t="n">
        <v>134</v>
      </c>
      <c r="B152" s="207" t="n">
        <f aca="false">+B151+E152</f>
        <v>46109.3358630093</v>
      </c>
      <c r="C152" s="323" t="n">
        <f aca="false">+$D$11-D152</f>
        <v>330.829668225476</v>
      </c>
      <c r="D152" s="323" t="n">
        <f aca="false">+H151*$B$9/360*E152</f>
        <v>-143.429552170185</v>
      </c>
      <c r="E152" s="208" t="n">
        <v>30</v>
      </c>
      <c r="F152" s="323" t="n">
        <f aca="false">+C152+D152</f>
        <v>187.400116055291</v>
      </c>
      <c r="G152" s="324" t="n">
        <f aca="false">+F152+M152</f>
        <v>177.682968795121</v>
      </c>
      <c r="H152" s="320" t="n">
        <f aca="false">+H151-C152</f>
        <v>-12624.7912828127</v>
      </c>
      <c r="J152" s="325" t="n">
        <f aca="false">+H151*$J$18</f>
        <v>-9.34341082708633</v>
      </c>
      <c r="K152" s="323" t="n">
        <f aca="false">+J152*$K$18</f>
        <v>-0.327019378948022</v>
      </c>
      <c r="L152" s="323" t="n">
        <f aca="false">+J152*$L$18</f>
        <v>-0.0467170541354316</v>
      </c>
      <c r="M152" s="320" t="n">
        <f aca="false">+J152+K152+L152</f>
        <v>-9.71714726016978</v>
      </c>
    </row>
    <row r="153" customFormat="false" ht="12.75" hidden="false" customHeight="false" outlineLevel="0" collapsed="false">
      <c r="A153" s="319" t="n">
        <v>135</v>
      </c>
      <c r="B153" s="207" t="n">
        <f aca="false">+B152+E153</f>
        <v>46139.3358630093</v>
      </c>
      <c r="C153" s="323" t="n">
        <f aca="false">+$D$11-D153</f>
        <v>334.689347688106</v>
      </c>
      <c r="D153" s="323" t="n">
        <f aca="false">+H152*$B$9/360*E153</f>
        <v>-147.289231632815</v>
      </c>
      <c r="E153" s="208" t="n">
        <v>30</v>
      </c>
      <c r="F153" s="323" t="n">
        <f aca="false">+C153+D153</f>
        <v>187.400116055291</v>
      </c>
      <c r="G153" s="324" t="n">
        <f aca="false">+F153+M153</f>
        <v>177.421481025356</v>
      </c>
      <c r="H153" s="320" t="n">
        <f aca="false">+H152-C153</f>
        <v>-12959.4806305009</v>
      </c>
      <c r="J153" s="325" t="n">
        <f aca="false">+H152*$J$18</f>
        <v>-9.59484137493769</v>
      </c>
      <c r="K153" s="323" t="n">
        <f aca="false">+J153*$K$18</f>
        <v>-0.335819448122819</v>
      </c>
      <c r="L153" s="323" t="n">
        <f aca="false">+J153*$L$18</f>
        <v>-0.0479742068746884</v>
      </c>
      <c r="M153" s="320" t="n">
        <f aca="false">+J153+K153+L153</f>
        <v>-9.9786350299352</v>
      </c>
    </row>
    <row r="154" customFormat="false" ht="12.75" hidden="false" customHeight="false" outlineLevel="0" collapsed="false">
      <c r="A154" s="319" t="n">
        <v>136</v>
      </c>
      <c r="B154" s="207" t="n">
        <f aca="false">+B153+E154</f>
        <v>46169.3358630093</v>
      </c>
      <c r="C154" s="323" t="n">
        <f aca="false">+$D$11-D154</f>
        <v>338.594056744468</v>
      </c>
      <c r="D154" s="323" t="n">
        <f aca="false">+H153*$B$9/360*E154</f>
        <v>-151.193940689177</v>
      </c>
      <c r="E154" s="208" t="n">
        <v>30</v>
      </c>
      <c r="F154" s="323" t="n">
        <f aca="false">+C154+D154</f>
        <v>187.400116055291</v>
      </c>
      <c r="G154" s="324" t="n">
        <f aca="false">+F154+M154</f>
        <v>177.156942564943</v>
      </c>
      <c r="H154" s="320" t="n">
        <f aca="false">+H153-C154</f>
        <v>-13298.0746872453</v>
      </c>
      <c r="J154" s="325" t="n">
        <f aca="false">+H153*$J$18</f>
        <v>-9.84920527918065</v>
      </c>
      <c r="K154" s="323" t="n">
        <f aca="false">+J154*$K$18</f>
        <v>-0.344722184771323</v>
      </c>
      <c r="L154" s="323" t="n">
        <f aca="false">+J154*$L$18</f>
        <v>-0.0492460263959033</v>
      </c>
      <c r="M154" s="320" t="n">
        <f aca="false">+J154+K154+L154</f>
        <v>-10.2431734903479</v>
      </c>
    </row>
    <row r="155" customFormat="false" ht="12.75" hidden="false" customHeight="false" outlineLevel="0" collapsed="false">
      <c r="A155" s="319" t="n">
        <v>137</v>
      </c>
      <c r="B155" s="207" t="n">
        <f aca="true">NOW()</f>
        <v>46079.3358630093</v>
      </c>
      <c r="C155" s="323" t="n">
        <f aca="false">+$D$11-D155</f>
        <v>342.54432073982</v>
      </c>
      <c r="D155" s="323" t="n">
        <f aca="false">+H154*$B$9/360*E155</f>
        <v>-155.144204684529</v>
      </c>
      <c r="E155" s="208" t="n">
        <v>30</v>
      </c>
      <c r="F155" s="323" t="n">
        <f aca="false">+C155+D155</f>
        <v>187.400116055291</v>
      </c>
      <c r="G155" s="324" t="n">
        <f aca="false">+F155+M155</f>
        <v>176.889317822492</v>
      </c>
      <c r="H155" s="320" t="n">
        <f aca="false">+H154-C155</f>
        <v>-13640.6190079851</v>
      </c>
      <c r="J155" s="325" t="n">
        <f aca="false">+H154*$J$18</f>
        <v>-10.1065367623064</v>
      </c>
      <c r="K155" s="323" t="n">
        <f aca="false">+J155*$K$18</f>
        <v>-0.353728786680726</v>
      </c>
      <c r="L155" s="323" t="n">
        <f aca="false">+J155*$L$18</f>
        <v>-0.0505326838115322</v>
      </c>
      <c r="M155" s="320" t="n">
        <f aca="false">+J155+K155+L155</f>
        <v>-10.5107982327987</v>
      </c>
    </row>
    <row r="156" customFormat="false" ht="12.75" hidden="false" customHeight="false" outlineLevel="0" collapsed="false">
      <c r="A156" s="319" t="n">
        <v>138</v>
      </c>
      <c r="B156" s="207" t="n">
        <f aca="false">+B155+E156</f>
        <v>46109.3358630093</v>
      </c>
      <c r="C156" s="323" t="n">
        <f aca="false">+$D$11-D156</f>
        <v>346.540671148451</v>
      </c>
      <c r="D156" s="323" t="n">
        <f aca="false">+H155*$B$9/360*E156</f>
        <v>-159.14055509316</v>
      </c>
      <c r="E156" s="208" t="n">
        <v>30</v>
      </c>
      <c r="F156" s="323" t="n">
        <f aca="false">+C156+D156</f>
        <v>187.400116055291</v>
      </c>
      <c r="G156" s="324" t="n">
        <f aca="false">+F156+M156</f>
        <v>176.618570791379</v>
      </c>
      <c r="H156" s="320" t="n">
        <f aca="false">+H155-C156</f>
        <v>-13987.1596791336</v>
      </c>
      <c r="J156" s="325" t="n">
        <f aca="false">+H155*$J$18</f>
        <v>-10.3668704460687</v>
      </c>
      <c r="K156" s="323" t="n">
        <f aca="false">+J156*$K$18</f>
        <v>-0.362840465612405</v>
      </c>
      <c r="L156" s="323" t="n">
        <f aca="false">+J156*$L$18</f>
        <v>-0.0518343522303435</v>
      </c>
      <c r="M156" s="320" t="n">
        <f aca="false">+J156+K156+L156</f>
        <v>-10.7815452639115</v>
      </c>
    </row>
    <row r="157" customFormat="false" ht="12.75" hidden="false" customHeight="false" outlineLevel="0" collapsed="false">
      <c r="A157" s="319" t="n">
        <v>139</v>
      </c>
      <c r="B157" s="207" t="n">
        <f aca="false">+B156+E157</f>
        <v>46139.3358630093</v>
      </c>
      <c r="C157" s="323" t="n">
        <f aca="false">+$D$11-D157</f>
        <v>350.583645645183</v>
      </c>
      <c r="D157" s="323" t="n">
        <f aca="false">+H156*$B$9/360*E157</f>
        <v>-163.183529589892</v>
      </c>
      <c r="E157" s="208" t="n">
        <v>30</v>
      </c>
      <c r="F157" s="323" t="n">
        <f aca="false">+C157+D157</f>
        <v>187.400116055291</v>
      </c>
      <c r="G157" s="324" t="n">
        <f aca="false">+F157+M157</f>
        <v>176.344665044904</v>
      </c>
      <c r="H157" s="320" t="n">
        <f aca="false">+H156-C157</f>
        <v>-14337.7433247788</v>
      </c>
      <c r="J157" s="325" t="n">
        <f aca="false">+H156*$J$18</f>
        <v>-10.6302413561415</v>
      </c>
      <c r="K157" s="323" t="n">
        <f aca="false">+J157*$K$18</f>
        <v>-0.372058447464954</v>
      </c>
      <c r="L157" s="323" t="n">
        <f aca="false">+J157*$L$18</f>
        <v>-0.0531512067807077</v>
      </c>
      <c r="M157" s="320" t="n">
        <f aca="false">+J157+K157+L157</f>
        <v>-11.0554510103872</v>
      </c>
    </row>
    <row r="158" customFormat="false" ht="12.75" hidden="false" customHeight="false" outlineLevel="0" collapsed="false">
      <c r="A158" s="319" t="n">
        <v>140</v>
      </c>
      <c r="B158" s="207" t="n">
        <f aca="false">+B157+E158</f>
        <v>46169.3358630093</v>
      </c>
      <c r="C158" s="323" t="n">
        <f aca="false">+$D$11-D158</f>
        <v>354.67378817771</v>
      </c>
      <c r="D158" s="323" t="n">
        <f aca="false">+H157*$B$9/360*E158</f>
        <v>-167.273672122419</v>
      </c>
      <c r="E158" s="208" t="n">
        <v>30</v>
      </c>
      <c r="F158" s="323" t="n">
        <f aca="false">+C158+D158</f>
        <v>187.400116055291</v>
      </c>
      <c r="G158" s="324" t="n">
        <f aca="false">+F158+M158</f>
        <v>176.067563731386</v>
      </c>
      <c r="H158" s="320" t="n">
        <f aca="false">+H157-C158</f>
        <v>-14692.4171129565</v>
      </c>
      <c r="J158" s="325" t="n">
        <f aca="false">+H157*$J$18</f>
        <v>-10.8966849268319</v>
      </c>
      <c r="K158" s="323" t="n">
        <f aca="false">+J158*$K$18</f>
        <v>-0.381383972439116</v>
      </c>
      <c r="L158" s="323" t="n">
        <f aca="false">+J158*$L$18</f>
        <v>-0.0544834246341594</v>
      </c>
      <c r="M158" s="320" t="n">
        <f aca="false">+J158+K158+L158</f>
        <v>-11.3325523239051</v>
      </c>
    </row>
    <row r="159" customFormat="false" ht="12.75" hidden="false" customHeight="false" outlineLevel="0" collapsed="false">
      <c r="A159" s="319" t="n">
        <v>141</v>
      </c>
      <c r="B159" s="207" t="n">
        <f aca="true">NOW()</f>
        <v>46079.3358630093</v>
      </c>
      <c r="C159" s="323" t="n">
        <f aca="false">+$D$11-D159</f>
        <v>358.811649039783</v>
      </c>
      <c r="D159" s="323" t="n">
        <f aca="false">+H158*$B$9/360*E159</f>
        <v>-171.411532984492</v>
      </c>
      <c r="E159" s="208" t="n">
        <v>30</v>
      </c>
      <c r="F159" s="323" t="n">
        <f aca="false">+C159+D159</f>
        <v>187.400116055291</v>
      </c>
      <c r="G159" s="324" t="n">
        <f aca="false">+F159+M159</f>
        <v>175.78722956921</v>
      </c>
      <c r="H159" s="320" t="n">
        <f aca="false">+H158-C159</f>
        <v>-15051.2287619963</v>
      </c>
      <c r="J159" s="325" t="n">
        <f aca="false">+H158*$J$18</f>
        <v>-11.1662370058469</v>
      </c>
      <c r="K159" s="323" t="n">
        <f aca="false">+J159*$K$18</f>
        <v>-0.390818295204643</v>
      </c>
      <c r="L159" s="323" t="n">
        <f aca="false">+J159*$L$18</f>
        <v>-0.0558311850292347</v>
      </c>
      <c r="M159" s="320" t="n">
        <f aca="false">+J159+K159+L159</f>
        <v>-11.6128864860808</v>
      </c>
    </row>
    <row r="160" customFormat="false" ht="12.75" hidden="false" customHeight="false" outlineLevel="0" collapsed="false">
      <c r="A160" s="319" t="n">
        <v>142</v>
      </c>
      <c r="B160" s="207" t="n">
        <f aca="false">+B159+E160</f>
        <v>46109.3358630093</v>
      </c>
      <c r="C160" s="323" t="n">
        <f aca="false">+$D$11-D160</f>
        <v>362.997784945247</v>
      </c>
      <c r="D160" s="323" t="n">
        <f aca="false">+H159*$B$9/360*E160</f>
        <v>-175.597668889956</v>
      </c>
      <c r="E160" s="208" t="n">
        <v>30</v>
      </c>
      <c r="F160" s="323" t="n">
        <f aca="false">+C160+D160</f>
        <v>187.400116055291</v>
      </c>
      <c r="G160" s="324" t="n">
        <f aca="false">+F160+M160</f>
        <v>175.503624841809</v>
      </c>
      <c r="H160" s="320" t="n">
        <f aca="false">+H159-C160</f>
        <v>-15414.2265469415</v>
      </c>
      <c r="J160" s="325" t="n">
        <f aca="false">+H159*$J$18</f>
        <v>-11.4389338591172</v>
      </c>
      <c r="K160" s="323" t="n">
        <f aca="false">+J160*$K$18</f>
        <v>-0.400362685069101</v>
      </c>
      <c r="L160" s="323" t="n">
        <f aca="false">+J160*$L$18</f>
        <v>-0.0571946692955858</v>
      </c>
      <c r="M160" s="320" t="n">
        <f aca="false">+J160+K160+L160</f>
        <v>-11.8964912134819</v>
      </c>
    </row>
    <row r="161" customFormat="false" ht="12.75" hidden="false" customHeight="false" outlineLevel="0" collapsed="false">
      <c r="A161" s="319" t="n">
        <v>143</v>
      </c>
      <c r="B161" s="207" t="n">
        <f aca="false">+B160+E161</f>
        <v>46139.3358630093</v>
      </c>
      <c r="C161" s="323" t="n">
        <f aca="false">+$D$11-D161</f>
        <v>367.232759102942</v>
      </c>
      <c r="D161" s="323" t="n">
        <f aca="false">+H160*$B$9/360*E161</f>
        <v>-179.832643047651</v>
      </c>
      <c r="E161" s="208" t="n">
        <v>30</v>
      </c>
      <c r="F161" s="323" t="n">
        <f aca="false">+C161+D161</f>
        <v>187.400116055291</v>
      </c>
      <c r="G161" s="324" t="n">
        <f aca="false">+F161+M161</f>
        <v>175.216711392588</v>
      </c>
      <c r="H161" s="320" t="n">
        <f aca="false">+H160-C161</f>
        <v>-15781.4593060445</v>
      </c>
      <c r="J161" s="325" t="n">
        <f aca="false">+H160*$J$18</f>
        <v>-11.7148121756756</v>
      </c>
      <c r="K161" s="323" t="n">
        <f aca="false">+J161*$K$18</f>
        <v>-0.410018426148644</v>
      </c>
      <c r="L161" s="323" t="n">
        <f aca="false">+J161*$L$18</f>
        <v>-0.0585740608783778</v>
      </c>
      <c r="M161" s="320" t="n">
        <f aca="false">+J161+K161+L161</f>
        <v>-12.1834046627026</v>
      </c>
    </row>
    <row r="162" customFormat="false" ht="12.75" hidden="false" customHeight="false" outlineLevel="0" collapsed="false">
      <c r="A162" s="319" t="n">
        <v>144</v>
      </c>
      <c r="B162" s="207" t="n">
        <f aca="false">+B161+E162</f>
        <v>46169.3358630093</v>
      </c>
      <c r="C162" s="323" t="n">
        <f aca="false">+$D$11-D162</f>
        <v>371.517141292476</v>
      </c>
      <c r="D162" s="323" t="n">
        <f aca="false">+H161*$B$9/360*E162</f>
        <v>-184.117025237185</v>
      </c>
      <c r="E162" s="208" t="n">
        <v>30</v>
      </c>
      <c r="F162" s="323" t="n">
        <f aca="false">+C162+D162</f>
        <v>187.400116055291</v>
      </c>
      <c r="G162" s="324" t="n">
        <f aca="false">+F162+M162</f>
        <v>174.926450619793</v>
      </c>
      <c r="H162" s="320" t="n">
        <f aca="false">+H161-C162</f>
        <v>-16152.9764473369</v>
      </c>
      <c r="J162" s="325" t="n">
        <f aca="false">+H161*$J$18</f>
        <v>-11.9939090725938</v>
      </c>
      <c r="K162" s="323" t="n">
        <f aca="false">+J162*$K$18</f>
        <v>-0.419786817540783</v>
      </c>
      <c r="L162" s="323" t="n">
        <f aca="false">+J162*$L$18</f>
        <v>-0.0599695453629689</v>
      </c>
      <c r="M162" s="320" t="n">
        <f aca="false">+J162+K162+L162</f>
        <v>-12.4736654354975</v>
      </c>
    </row>
    <row r="163" customFormat="false" ht="12.75" hidden="false" customHeight="false" outlineLevel="0" collapsed="false">
      <c r="A163" s="319" t="n">
        <v>145</v>
      </c>
      <c r="B163" s="207" t="n">
        <f aca="true">NOW()</f>
        <v>46079.3358630093</v>
      </c>
      <c r="C163" s="323" t="n">
        <f aca="false">+$D$11-D163</f>
        <v>375.851507940889</v>
      </c>
      <c r="D163" s="323" t="n">
        <f aca="false">+H162*$B$9/360*E163</f>
        <v>-188.451391885598</v>
      </c>
      <c r="E163" s="208" t="n">
        <v>30</v>
      </c>
      <c r="F163" s="323" t="n">
        <f aca="false">+C163+D163</f>
        <v>187.400116055291</v>
      </c>
      <c r="G163" s="324" t="n">
        <f aca="false">+F163+M163</f>
        <v>174.632803471316</v>
      </c>
      <c r="H163" s="320" t="n">
        <f aca="false">+H162-C163</f>
        <v>-16528.8279552778</v>
      </c>
      <c r="J163" s="325" t="n">
        <f aca="false">+H162*$J$18</f>
        <v>-12.2762620999761</v>
      </c>
      <c r="K163" s="323" t="n">
        <f aca="false">+J163*$K$18</f>
        <v>-0.429669173499163</v>
      </c>
      <c r="L163" s="323" t="n">
        <f aca="false">+J163*$L$18</f>
        <v>-0.0613813104998804</v>
      </c>
      <c r="M163" s="320" t="n">
        <f aca="false">+J163+K163+L163</f>
        <v>-12.7673125839751</v>
      </c>
    </row>
    <row r="164" customFormat="false" ht="12.75" hidden="false" customHeight="false" outlineLevel="0" collapsed="false">
      <c r="A164" s="319" t="n">
        <v>146</v>
      </c>
      <c r="B164" s="207" t="n">
        <f aca="false">+B163+E164</f>
        <v>46109.3358630093</v>
      </c>
      <c r="C164" s="323" t="n">
        <f aca="false">+$D$11-D164</f>
        <v>380.236442200199</v>
      </c>
      <c r="D164" s="323" t="n">
        <f aca="false">+H163*$B$9/360*E164</f>
        <v>-192.836326144908</v>
      </c>
      <c r="E164" s="208" t="n">
        <v>30</v>
      </c>
      <c r="F164" s="323" t="n">
        <f aca="false">+C164+D164</f>
        <v>187.400116055291</v>
      </c>
      <c r="G164" s="324" t="n">
        <f aca="false">+F164+M164</f>
        <v>174.335730439439</v>
      </c>
      <c r="H164" s="320" t="n">
        <f aca="false">+H163-C164</f>
        <v>-16909.064397478</v>
      </c>
      <c r="J164" s="325" t="n">
        <f aca="false">+H163*$J$18</f>
        <v>-12.5619092460111</v>
      </c>
      <c r="K164" s="323" t="n">
        <f aca="false">+J164*$K$18</f>
        <v>-0.43966682361039</v>
      </c>
      <c r="L164" s="323" t="n">
        <f aca="false">+J164*$L$18</f>
        <v>-0.0628095462300557</v>
      </c>
      <c r="M164" s="320" t="n">
        <f aca="false">+J164+K164+L164</f>
        <v>-13.0643856158516</v>
      </c>
    </row>
    <row r="165" customFormat="false" ht="12.75" hidden="false" customHeight="false" outlineLevel="0" collapsed="false">
      <c r="A165" s="319" t="n">
        <v>147</v>
      </c>
      <c r="B165" s="207" t="n">
        <f aca="false">+B164+E165</f>
        <v>46139.3358630093</v>
      </c>
      <c r="C165" s="323" t="n">
        <f aca="false">+$D$11-D165</f>
        <v>384.672534025868</v>
      </c>
      <c r="D165" s="323" t="n">
        <f aca="false">+H164*$B$9/360*E165</f>
        <v>-197.272417970577</v>
      </c>
      <c r="E165" s="208" t="n">
        <v>30</v>
      </c>
      <c r="F165" s="323" t="n">
        <f aca="false">+C165+D165</f>
        <v>187.400116055291</v>
      </c>
      <c r="G165" s="324" t="n">
        <f aca="false">+F165+M165</f>
        <v>174.035191555524</v>
      </c>
      <c r="H165" s="320" t="n">
        <f aca="false">+H164-C165</f>
        <v>-17293.7369315039</v>
      </c>
      <c r="J165" s="325" t="n">
        <f aca="false">+H164*$J$18</f>
        <v>-12.8508889420833</v>
      </c>
      <c r="K165" s="323" t="n">
        <f aca="false">+J165*$K$18</f>
        <v>-0.449781112972915</v>
      </c>
      <c r="L165" s="323" t="n">
        <f aca="false">+J165*$L$18</f>
        <v>-0.0642544447104165</v>
      </c>
      <c r="M165" s="320" t="n">
        <f aca="false">+J165+K165+L165</f>
        <v>-13.3649244997666</v>
      </c>
    </row>
    <row r="166" customFormat="false" ht="12.75" hidden="false" customHeight="false" outlineLevel="0" collapsed="false">
      <c r="A166" s="319" t="n">
        <v>148</v>
      </c>
      <c r="B166" s="207" t="n">
        <f aca="false">+B165+E166</f>
        <v>46169.3358630093</v>
      </c>
      <c r="C166" s="323" t="n">
        <f aca="false">+$D$11-D166</f>
        <v>389.16038025617</v>
      </c>
      <c r="D166" s="323" t="n">
        <f aca="false">+H165*$B$9/360*E166</f>
        <v>-201.760264200879</v>
      </c>
      <c r="E166" s="208" t="n">
        <v>30</v>
      </c>
      <c r="F166" s="323" t="n">
        <f aca="false">+C166+D166</f>
        <v>187.400116055291</v>
      </c>
      <c r="G166" s="324" t="n">
        <f aca="false">+F166+M166</f>
        <v>173.73114638463</v>
      </c>
      <c r="H166" s="320" t="n">
        <f aca="false">+H165-C166</f>
        <v>-17682.8973117601</v>
      </c>
      <c r="J166" s="325" t="n">
        <f aca="false">+H165*$J$18</f>
        <v>-13.143240067943</v>
      </c>
      <c r="K166" s="323" t="n">
        <f aca="false">+J166*$K$18</f>
        <v>-0.460013402378004</v>
      </c>
      <c r="L166" s="323" t="n">
        <f aca="false">+J166*$L$18</f>
        <v>-0.0657162003397148</v>
      </c>
      <c r="M166" s="320" t="n">
        <f aca="false">+J166+K166+L166</f>
        <v>-13.6689696706607</v>
      </c>
    </row>
    <row r="167" customFormat="false" ht="12.75" hidden="false" customHeight="false" outlineLevel="0" collapsed="false">
      <c r="A167" s="319" t="n">
        <v>149</v>
      </c>
      <c r="B167" s="207" t="n">
        <f aca="true">NOW()</f>
        <v>46079.3358630093</v>
      </c>
      <c r="C167" s="323" t="n">
        <f aca="false">+$D$11-D167</f>
        <v>393.700584692492</v>
      </c>
      <c r="D167" s="323" t="n">
        <f aca="false">+H166*$B$9/360*E167</f>
        <v>-206.300468637201</v>
      </c>
      <c r="E167" s="208" t="n">
        <v>30</v>
      </c>
      <c r="F167" s="323" t="n">
        <f aca="false">+C167+D167</f>
        <v>187.400116055291</v>
      </c>
      <c r="G167" s="324" t="n">
        <f aca="false">+F167+M167</f>
        <v>173.423554020076</v>
      </c>
      <c r="H167" s="320" t="n">
        <f aca="false">+H166-C167</f>
        <v>-18076.5978964526</v>
      </c>
      <c r="J167" s="325" t="n">
        <f aca="false">+H166*$J$18</f>
        <v>-13.4390019569376</v>
      </c>
      <c r="K167" s="323" t="n">
        <f aca="false">+J167*$K$18</f>
        <v>-0.470365068492818</v>
      </c>
      <c r="L167" s="323" t="n">
        <f aca="false">+J167*$L$18</f>
        <v>-0.0671950097846882</v>
      </c>
      <c r="M167" s="320" t="n">
        <f aca="false">+J167+K167+L167</f>
        <v>-13.9765620352152</v>
      </c>
    </row>
    <row r="168" customFormat="false" ht="12.75" hidden="false" customHeight="false" outlineLevel="0" collapsed="false">
      <c r="A168" s="319" t="n">
        <v>150</v>
      </c>
      <c r="B168" s="207" t="n">
        <f aca="true">NOW()</f>
        <v>46079.3358630093</v>
      </c>
      <c r="C168" s="323" t="n">
        <f aca="false">+$D$11-D168</f>
        <v>398.293758180571</v>
      </c>
      <c r="D168" s="323" t="n">
        <f aca="false">+H167*$B$9/360*E168</f>
        <v>-210.89364212528</v>
      </c>
      <c r="E168" s="208" t="n">
        <v>30</v>
      </c>
      <c r="F168" s="323" t="n">
        <f aca="false">+C168+D168</f>
        <v>187.400116055291</v>
      </c>
      <c r="G168" s="324" t="n">
        <f aca="false">+F168+M168</f>
        <v>173.112373077935</v>
      </c>
      <c r="H168" s="320" t="n">
        <f aca="false">+H167-C168</f>
        <v>-18474.8916546331</v>
      </c>
      <c r="J168" s="325" t="n">
        <f aca="false">+H167*$J$18</f>
        <v>-13.7382144013039</v>
      </c>
      <c r="K168" s="323" t="n">
        <f aca="false">+J168*$K$18</f>
        <v>-0.480837504045638</v>
      </c>
      <c r="L168" s="323" t="n">
        <f aca="false">+J168*$L$18</f>
        <v>-0.0686910720065197</v>
      </c>
      <c r="M168" s="320" t="n">
        <f aca="false">+J168+K168+L168</f>
        <v>-14.2877429773561</v>
      </c>
    </row>
    <row r="169" customFormat="false" ht="12.75" hidden="false" customHeight="false" outlineLevel="0" collapsed="false">
      <c r="A169" s="319" t="n">
        <v>151</v>
      </c>
      <c r="B169" s="207" t="n">
        <f aca="false">+B168+E169</f>
        <v>46109.3358630093</v>
      </c>
      <c r="C169" s="323" t="n">
        <f aca="false">+$D$11-D169</f>
        <v>402.940518692677</v>
      </c>
      <c r="D169" s="323" t="n">
        <f aca="false">+H168*$B$9/360*E169</f>
        <v>-215.540402637386</v>
      </c>
      <c r="E169" s="208" t="n">
        <v>30</v>
      </c>
      <c r="F169" s="323" t="n">
        <f aca="false">+C169+D169</f>
        <v>187.400116055291</v>
      </c>
      <c r="G169" s="324" t="n">
        <f aca="false">+F169+M169</f>
        <v>172.797561691469</v>
      </c>
      <c r="H169" s="320" t="n">
        <f aca="false">+H168-C169</f>
        <v>-18877.8321733258</v>
      </c>
      <c r="J169" s="325" t="n">
        <f aca="false">+H168*$J$18</f>
        <v>-14.0409176575212</v>
      </c>
      <c r="K169" s="323" t="n">
        <f aca="false">+J169*$K$18</f>
        <v>-0.491432118013241</v>
      </c>
      <c r="L169" s="323" t="n">
        <f aca="false">+J169*$L$18</f>
        <v>-0.0702045882876059</v>
      </c>
      <c r="M169" s="320" t="n">
        <f aca="false">+J169+K169+L169</f>
        <v>-14.602554363822</v>
      </c>
    </row>
    <row r="170" customFormat="false" ht="12.75" hidden="false" customHeight="false" outlineLevel="0" collapsed="false">
      <c r="A170" s="319" t="n">
        <v>152</v>
      </c>
      <c r="B170" s="207" t="n">
        <f aca="false">+B169+E170</f>
        <v>46139.3358630093</v>
      </c>
      <c r="C170" s="323" t="n">
        <f aca="false">+$D$11-D170</f>
        <v>407.641491410759</v>
      </c>
      <c r="D170" s="323" t="n">
        <f aca="false">+H169*$B$9/360*E170</f>
        <v>-220.241375355468</v>
      </c>
      <c r="E170" s="208" t="n">
        <v>30</v>
      </c>
      <c r="F170" s="323" t="n">
        <f aca="false">+C170+D170</f>
        <v>187.400116055291</v>
      </c>
      <c r="G170" s="324" t="n">
        <f aca="false">+F170+M170</f>
        <v>172.479077505494</v>
      </c>
      <c r="H170" s="320" t="n">
        <f aca="false">+H169-C170</f>
        <v>-19285.4736647366</v>
      </c>
      <c r="J170" s="325" t="n">
        <f aca="false">+H169*$J$18</f>
        <v>-14.3471524517276</v>
      </c>
      <c r="K170" s="323" t="n">
        <f aca="false">+J170*$K$18</f>
        <v>-0.502150335810466</v>
      </c>
      <c r="L170" s="323" t="n">
        <f aca="false">+J170*$L$18</f>
        <v>-0.071735762258638</v>
      </c>
      <c r="M170" s="320" t="n">
        <f aca="false">+J170+K170+L170</f>
        <v>-14.9210385497967</v>
      </c>
    </row>
    <row r="171" customFormat="false" ht="12.75" hidden="false" customHeight="false" outlineLevel="0" collapsed="false">
      <c r="A171" s="319" t="n">
        <v>153</v>
      </c>
      <c r="B171" s="207" t="n">
        <f aca="false">+B170+E171</f>
        <v>46169.3358630093</v>
      </c>
      <c r="C171" s="323" t="n">
        <f aca="false">+$D$11-D171</f>
        <v>412.397308810551</v>
      </c>
      <c r="D171" s="323" t="n">
        <f aca="false">+H170*$B$9/360*E171</f>
        <v>-224.99719275526</v>
      </c>
      <c r="E171" s="208" t="n">
        <v>30</v>
      </c>
      <c r="F171" s="323" t="n">
        <f aca="false">+C171+D171</f>
        <v>187.400116055291</v>
      </c>
      <c r="G171" s="324" t="n">
        <f aca="false">+F171+M171</f>
        <v>172.156877670683</v>
      </c>
      <c r="H171" s="320" t="n">
        <f aca="false">+H170-C171</f>
        <v>-19697.8709735471</v>
      </c>
      <c r="J171" s="325" t="n">
        <f aca="false">+H170*$J$18</f>
        <v>-14.6569599851998</v>
      </c>
      <c r="K171" s="323" t="n">
        <f aca="false">+J171*$K$18</f>
        <v>-0.512993599481993</v>
      </c>
      <c r="L171" s="323" t="n">
        <f aca="false">+J171*$L$18</f>
        <v>-0.0732847999259989</v>
      </c>
      <c r="M171" s="320" t="n">
        <f aca="false">+J171+K171+L171</f>
        <v>-15.2432383846078</v>
      </c>
    </row>
    <row r="172" customFormat="false" ht="12.75" hidden="false" customHeight="false" outlineLevel="0" collapsed="false">
      <c r="A172" s="319" t="n">
        <v>154</v>
      </c>
      <c r="B172" s="207" t="n">
        <f aca="true">NOW()</f>
        <v>46079.3358630093</v>
      </c>
      <c r="C172" s="323" t="n">
        <f aca="false">+$D$11-D172</f>
        <v>417.208610746674</v>
      </c>
      <c r="D172" s="323" t="n">
        <f aca="false">+H171*$B$9/360*E172</f>
        <v>-229.808494691383</v>
      </c>
      <c r="E172" s="208" t="n">
        <v>30</v>
      </c>
      <c r="F172" s="323" t="n">
        <f aca="false">+C172+D172</f>
        <v>187.400116055291</v>
      </c>
      <c r="G172" s="324" t="n">
        <f aca="false">+F172+M172</f>
        <v>171.830918837799</v>
      </c>
      <c r="H172" s="320" t="n">
        <f aca="false">+H171-C172</f>
        <v>-20115.0795842938</v>
      </c>
      <c r="J172" s="325" t="n">
        <f aca="false">+H171*$J$18</f>
        <v>-14.9703819398958</v>
      </c>
      <c r="K172" s="323" t="n">
        <f aca="false">+J172*$K$18</f>
        <v>-0.523963367896353</v>
      </c>
      <c r="L172" s="323" t="n">
        <f aca="false">+J172*$L$18</f>
        <v>-0.074851909699479</v>
      </c>
      <c r="M172" s="320" t="n">
        <f aca="false">+J172+K172+L172</f>
        <v>-15.5691972174916</v>
      </c>
    </row>
    <row r="173" customFormat="false" ht="12.75" hidden="false" customHeight="false" outlineLevel="0" collapsed="false">
      <c r="A173" s="319" t="n">
        <v>155</v>
      </c>
      <c r="B173" s="207" t="n">
        <f aca="false">+B172+E173</f>
        <v>46109.3358630093</v>
      </c>
      <c r="C173" s="323" t="n">
        <f aca="false">+$D$11-D173</f>
        <v>422.076044538718</v>
      </c>
      <c r="D173" s="323" t="n">
        <f aca="false">+H172*$B$9/360*E173</f>
        <v>-234.675928483428</v>
      </c>
      <c r="E173" s="208" t="n">
        <v>30</v>
      </c>
      <c r="F173" s="323" t="n">
        <f aca="false">+C173+D173</f>
        <v>187.400116055291</v>
      </c>
      <c r="G173" s="324" t="n">
        <f aca="false">+F173+M173</f>
        <v>171.501157151865</v>
      </c>
      <c r="H173" s="320" t="n">
        <f aca="false">+H172-C173</f>
        <v>-20537.1556288325</v>
      </c>
      <c r="J173" s="325" t="n">
        <f aca="false">+H172*$J$18</f>
        <v>-15.2874604840633</v>
      </c>
      <c r="K173" s="323" t="n">
        <f aca="false">+J173*$K$18</f>
        <v>-0.535061116942215</v>
      </c>
      <c r="L173" s="323" t="n">
        <f aca="false">+J173*$L$18</f>
        <v>-0.0764373024203164</v>
      </c>
      <c r="M173" s="320" t="n">
        <f aca="false">+J173+K173+L173</f>
        <v>-15.8989589034258</v>
      </c>
    </row>
    <row r="174" customFormat="false" ht="12.75" hidden="false" customHeight="false" outlineLevel="0" collapsed="false">
      <c r="A174" s="319" t="n">
        <v>156</v>
      </c>
      <c r="B174" s="207" t="n">
        <f aca="false">+B173+E174</f>
        <v>46139.3358630093</v>
      </c>
      <c r="C174" s="323" t="n">
        <f aca="false">+$D$11-D174</f>
        <v>427.000265058337</v>
      </c>
      <c r="D174" s="323" t="n">
        <f aca="false">+H173*$B$9/360*E174</f>
        <v>-239.600149003046</v>
      </c>
      <c r="E174" s="208" t="n">
        <v>30</v>
      </c>
      <c r="F174" s="323" t="n">
        <f aca="false">+C174+D174</f>
        <v>187.400116055291</v>
      </c>
      <c r="G174" s="324" t="n">
        <f aca="false">+F174+M174</f>
        <v>171.167548246262</v>
      </c>
      <c r="H174" s="320" t="n">
        <f aca="false">+H173-C174</f>
        <v>-20964.1558938908</v>
      </c>
      <c r="J174" s="325" t="n">
        <f aca="false">+H173*$J$18</f>
        <v>-15.6082382779127</v>
      </c>
      <c r="K174" s="323" t="n">
        <f aca="false">+J174*$K$18</f>
        <v>-0.546288339726945</v>
      </c>
      <c r="L174" s="323" t="n">
        <f aca="false">+J174*$L$18</f>
        <v>-0.0780411913895635</v>
      </c>
      <c r="M174" s="320" t="n">
        <f aca="false">+J174+K174+L174</f>
        <v>-16.2325678090292</v>
      </c>
    </row>
    <row r="175" customFormat="false" ht="12.75" hidden="false" customHeight="false" outlineLevel="0" collapsed="false">
      <c r="A175" s="319" t="n">
        <v>157</v>
      </c>
      <c r="B175" s="207" t="n">
        <f aca="false">+B174+E175</f>
        <v>46169.3358630093</v>
      </c>
      <c r="C175" s="323" t="n">
        <f aca="false">+$D$11-D175</f>
        <v>431.981934817351</v>
      </c>
      <c r="D175" s="323" t="n">
        <f aca="false">+H174*$B$9/360*E175</f>
        <v>-244.58181876206</v>
      </c>
      <c r="E175" s="208" t="n">
        <v>30</v>
      </c>
      <c r="F175" s="323" t="n">
        <f aca="false">+C175+D175</f>
        <v>187.400116055291</v>
      </c>
      <c r="G175" s="324" t="n">
        <f aca="false">+F175+M175</f>
        <v>170.83004723676</v>
      </c>
      <c r="H175" s="320" t="n">
        <f aca="false">+H174-C175</f>
        <v>-21396.1378287082</v>
      </c>
      <c r="J175" s="325" t="n">
        <f aca="false">+H174*$J$18</f>
        <v>-15.932758479357</v>
      </c>
      <c r="K175" s="323" t="n">
        <f aca="false">+J175*$K$18</f>
        <v>-0.557646546777496</v>
      </c>
      <c r="L175" s="323" t="n">
        <f aca="false">+J175*$L$18</f>
        <v>-0.0796637923967852</v>
      </c>
      <c r="M175" s="320" t="n">
        <f aca="false">+J175+K175+L175</f>
        <v>-16.5700688185313</v>
      </c>
    </row>
    <row r="176" customFormat="false" ht="12.75" hidden="false" customHeight="false" outlineLevel="0" collapsed="false">
      <c r="A176" s="319" t="n">
        <v>158</v>
      </c>
      <c r="B176" s="207" t="n">
        <f aca="true">NOW()</f>
        <v>46079.3358630093</v>
      </c>
      <c r="C176" s="323" t="n">
        <f aca="false">+$D$11-D176</f>
        <v>437.021724056886</v>
      </c>
      <c r="D176" s="323" t="n">
        <f aca="false">+H175*$B$9/360*E176</f>
        <v>-249.621608001596</v>
      </c>
      <c r="E176" s="208" t="n">
        <v>30</v>
      </c>
      <c r="F176" s="323" t="n">
        <f aca="false">+C176+D176</f>
        <v>187.400116055291</v>
      </c>
      <c r="G176" s="324" t="n">
        <f aca="false">+F176+M176</f>
        <v>170.48860871548</v>
      </c>
      <c r="H176" s="320" t="n">
        <f aca="false">+H175-C176</f>
        <v>-21833.1595527651</v>
      </c>
      <c r="J176" s="325" t="n">
        <f aca="false">+H175*$J$18</f>
        <v>-16.2610647498182</v>
      </c>
      <c r="K176" s="323" t="n">
        <f aca="false">+J176*$K$18</f>
        <v>-0.569137266243638</v>
      </c>
      <c r="L176" s="323" t="n">
        <f aca="false">+J176*$L$18</f>
        <v>-0.0813053237490911</v>
      </c>
      <c r="M176" s="320" t="n">
        <f aca="false">+J176+K176+L176</f>
        <v>-16.911507339811</v>
      </c>
    </row>
    <row r="177" customFormat="false" ht="12.75" hidden="false" customHeight="false" outlineLevel="0" collapsed="false">
      <c r="A177" s="319" t="n">
        <v>159</v>
      </c>
      <c r="B177" s="207" t="n">
        <f aca="false">+B176+E177</f>
        <v>46109.3358630093</v>
      </c>
      <c r="C177" s="323" t="n">
        <f aca="false">+$D$11-D177</f>
        <v>442.12031083755</v>
      </c>
      <c r="D177" s="323" t="n">
        <f aca="false">+H176*$B$9/360*E177</f>
        <v>-254.720194782259</v>
      </c>
      <c r="E177" s="208" t="n">
        <v>30</v>
      </c>
      <c r="F177" s="323" t="n">
        <f aca="false">+C177+D177</f>
        <v>187.400116055291</v>
      </c>
      <c r="G177" s="324" t="n">
        <f aca="false">+F177+M177</f>
        <v>170.143186744785</v>
      </c>
      <c r="H177" s="320" t="n">
        <f aca="false">+H176-C177</f>
        <v>-22275.2798636026</v>
      </c>
      <c r="J177" s="325" t="n">
        <f aca="false">+H176*$J$18</f>
        <v>-16.5932012601015</v>
      </c>
      <c r="K177" s="323" t="n">
        <f aca="false">+J177*$K$18</f>
        <v>-0.580762044103551</v>
      </c>
      <c r="L177" s="323" t="n">
        <f aca="false">+J177*$L$18</f>
        <v>-0.0829660063005073</v>
      </c>
      <c r="M177" s="320" t="n">
        <f aca="false">+J177+K177+L177</f>
        <v>-17.2569293105055</v>
      </c>
    </row>
    <row r="178" customFormat="false" ht="12.75" hidden="false" customHeight="false" outlineLevel="0" collapsed="false">
      <c r="A178" s="319" t="n">
        <v>160</v>
      </c>
      <c r="B178" s="207" t="n">
        <f aca="false">+B177+E178</f>
        <v>46139.3358630093</v>
      </c>
      <c r="C178" s="323" t="n">
        <f aca="false">+$D$11-D178</f>
        <v>447.278381130655</v>
      </c>
      <c r="D178" s="323" t="n">
        <f aca="false">+H177*$B$9/360*E178</f>
        <v>-259.878265075364</v>
      </c>
      <c r="E178" s="208" t="n">
        <v>30</v>
      </c>
      <c r="F178" s="323" t="n">
        <f aca="false">+C178+D178</f>
        <v>187.400116055291</v>
      </c>
      <c r="G178" s="324" t="n">
        <f aca="false">+F178+M178</f>
        <v>169.793734851099</v>
      </c>
      <c r="H178" s="320" t="n">
        <f aca="false">+H177-C178</f>
        <v>-22722.5582447333</v>
      </c>
      <c r="J178" s="325" t="n">
        <f aca="false">+H177*$J$18</f>
        <v>-16.929212696338</v>
      </c>
      <c r="K178" s="323" t="n">
        <f aca="false">+J178*$K$18</f>
        <v>-0.59252244437183</v>
      </c>
      <c r="L178" s="323" t="n">
        <f aca="false">+J178*$L$18</f>
        <v>-0.08464606348169</v>
      </c>
      <c r="M178" s="320" t="n">
        <f aca="false">+J178+K178+L178</f>
        <v>-17.6063812041915</v>
      </c>
    </row>
    <row r="179" customFormat="false" ht="12.75" hidden="false" customHeight="false" outlineLevel="0" collapsed="false">
      <c r="A179" s="319" t="n">
        <v>161</v>
      </c>
      <c r="B179" s="207" t="n">
        <f aca="false">+B178+E179</f>
        <v>46169.3358630093</v>
      </c>
      <c r="C179" s="323" t="n">
        <f aca="false">+$D$11-D179</f>
        <v>452.496628910512</v>
      </c>
      <c r="D179" s="323" t="n">
        <f aca="false">+H178*$B$9/360*E179</f>
        <v>-265.096512855222</v>
      </c>
      <c r="E179" s="208" t="n">
        <v>30</v>
      </c>
      <c r="F179" s="323" t="n">
        <f aca="false">+C179+D179</f>
        <v>187.400116055291</v>
      </c>
      <c r="G179" s="324" t="n">
        <f aca="false">+F179+M179</f>
        <v>169.440206018654</v>
      </c>
      <c r="H179" s="320" t="n">
        <f aca="false">+H178-C179</f>
        <v>-23175.0548736438</v>
      </c>
      <c r="J179" s="325" t="n">
        <f aca="false">+H178*$J$18</f>
        <v>-17.2691442659973</v>
      </c>
      <c r="K179" s="323" t="n">
        <f aca="false">+J179*$K$18</f>
        <v>-0.604420049309905</v>
      </c>
      <c r="L179" s="323" t="n">
        <f aca="false">+J179*$L$18</f>
        <v>-0.0863457213299865</v>
      </c>
      <c r="M179" s="320" t="n">
        <f aca="false">+J179+K179+L179</f>
        <v>-17.9599100366372</v>
      </c>
    </row>
    <row r="180" customFormat="false" ht="12.75" hidden="false" customHeight="false" outlineLevel="0" collapsed="false">
      <c r="A180" s="319" t="n">
        <v>162</v>
      </c>
      <c r="B180" s="207" t="n">
        <f aca="true">NOW()</f>
        <v>46079.3358630093</v>
      </c>
      <c r="C180" s="323" t="n">
        <f aca="false">+$D$11-D180</f>
        <v>457.775756247802</v>
      </c>
      <c r="D180" s="323" t="n">
        <f aca="false">+H179*$B$9/360*E180</f>
        <v>-270.375640192511</v>
      </c>
      <c r="E180" s="208" t="n">
        <v>30</v>
      </c>
      <c r="F180" s="323" t="n">
        <f aca="false">+C180+D180</f>
        <v>187.400116055291</v>
      </c>
      <c r="G180" s="324" t="n">
        <f aca="false">+F180+M180</f>
        <v>169.082552683163</v>
      </c>
      <c r="H180" s="320" t="n">
        <f aca="false">+H179-C180</f>
        <v>-23632.8306298916</v>
      </c>
      <c r="J180" s="325" t="n">
        <f aca="false">+H179*$J$18</f>
        <v>-17.6130417039693</v>
      </c>
      <c r="K180" s="323" t="n">
        <f aca="false">+J180*$K$18</f>
        <v>-0.616456459638925</v>
      </c>
      <c r="L180" s="323" t="n">
        <f aca="false">+J180*$L$18</f>
        <v>-0.0880652085198464</v>
      </c>
      <c r="M180" s="320" t="n">
        <f aca="false">+J180+K180+L180</f>
        <v>-18.3175633721281</v>
      </c>
    </row>
    <row r="181" customFormat="false" ht="12.75" hidden="false" customHeight="false" outlineLevel="0" collapsed="false">
      <c r="A181" s="319" t="n">
        <v>163</v>
      </c>
      <c r="B181" s="207" t="n">
        <f aca="false">+B180+E181</f>
        <v>46109.3358630093</v>
      </c>
      <c r="C181" s="323" t="n">
        <f aca="false">+$D$11-D181</f>
        <v>463.116473404026</v>
      </c>
      <c r="D181" s="323" t="n">
        <f aca="false">+H180*$B$9/360*E181</f>
        <v>-275.716357348735</v>
      </c>
      <c r="E181" s="208" t="n">
        <v>30</v>
      </c>
      <c r="F181" s="323" t="n">
        <f aca="false">+C181+D181</f>
        <v>187.400116055291</v>
      </c>
      <c r="G181" s="324" t="n">
        <f aca="false">+F181+M181</f>
        <v>168.720726725425</v>
      </c>
      <c r="H181" s="320" t="n">
        <f aca="false">+H180-C181</f>
        <v>-24095.9471032956</v>
      </c>
      <c r="J181" s="325" t="n">
        <f aca="false">+H180*$J$18</f>
        <v>-17.9609512787176</v>
      </c>
      <c r="K181" s="323" t="n">
        <f aca="false">+J181*$K$18</f>
        <v>-0.628633294755117</v>
      </c>
      <c r="L181" s="323" t="n">
        <f aca="false">+J181*$L$18</f>
        <v>-0.0898047563935881</v>
      </c>
      <c r="M181" s="320" t="n">
        <f aca="false">+J181+K181+L181</f>
        <v>-18.6793893298663</v>
      </c>
    </row>
    <row r="182" customFormat="false" ht="12.75" hidden="false" customHeight="false" outlineLevel="0" collapsed="false">
      <c r="A182" s="319" t="n">
        <v>164</v>
      </c>
      <c r="B182" s="207" t="n">
        <f aca="false">+B181+E182</f>
        <v>46139.3358630093</v>
      </c>
      <c r="C182" s="323" t="n">
        <f aca="false">+$D$11-D182</f>
        <v>468.519498927073</v>
      </c>
      <c r="D182" s="323" t="n">
        <f aca="false">+H181*$B$9/360*E182</f>
        <v>-281.119382871782</v>
      </c>
      <c r="E182" s="208" t="n">
        <v>30</v>
      </c>
      <c r="F182" s="323" t="n">
        <f aca="false">+C182+D182</f>
        <v>187.400116055291</v>
      </c>
      <c r="G182" s="324" t="n">
        <f aca="false">+F182+M182</f>
        <v>168.354679464846</v>
      </c>
      <c r="H182" s="320" t="n">
        <f aca="false">+H181-C182</f>
        <v>-24564.4666022227</v>
      </c>
      <c r="J182" s="325" t="n">
        <f aca="false">+H181*$J$18</f>
        <v>-18.3129197985047</v>
      </c>
      <c r="K182" s="323" t="n">
        <f aca="false">+J182*$K$18</f>
        <v>-0.640952192947664</v>
      </c>
      <c r="L182" s="323" t="n">
        <f aca="false">+J182*$L$18</f>
        <v>-0.0915645989925234</v>
      </c>
      <c r="M182" s="320" t="n">
        <f aca="false">+J182+K182+L182</f>
        <v>-19.0454365904449</v>
      </c>
    </row>
    <row r="183" customFormat="false" ht="12.75" hidden="false" customHeight="false" outlineLevel="0" collapsed="false">
      <c r="A183" s="319" t="n">
        <v>165</v>
      </c>
      <c r="B183" s="207" t="n">
        <f aca="false">+B182+E183</f>
        <v>46169.3358630093</v>
      </c>
      <c r="C183" s="323" t="n">
        <f aca="false">+$D$11-D183</f>
        <v>473.985559747889</v>
      </c>
      <c r="D183" s="323" t="n">
        <f aca="false">+H182*$B$9/360*E183</f>
        <v>-286.585443692598</v>
      </c>
      <c r="E183" s="208" t="n">
        <v>30</v>
      </c>
      <c r="F183" s="323" t="n">
        <f aca="false">+C183+D183</f>
        <v>187.400116055291</v>
      </c>
      <c r="G183" s="324" t="n">
        <f aca="false">+F183+M183</f>
        <v>167.984361652894</v>
      </c>
      <c r="H183" s="320" t="n">
        <f aca="false">+H182-C183</f>
        <v>-25038.4521619706</v>
      </c>
      <c r="J183" s="325" t="n">
        <f aca="false">+H182*$J$18</f>
        <v>-18.6689946176892</v>
      </c>
      <c r="K183" s="323" t="n">
        <f aca="false">+J183*$K$18</f>
        <v>-0.653414811619124</v>
      </c>
      <c r="L183" s="323" t="n">
        <f aca="false">+J183*$L$18</f>
        <v>-0.0933449730884462</v>
      </c>
      <c r="M183" s="320" t="n">
        <f aca="false">+J183+K183+L183</f>
        <v>-19.4157544023968</v>
      </c>
    </row>
    <row r="184" customFormat="false" ht="12.75" hidden="false" customHeight="false" outlineLevel="0" collapsed="false">
      <c r="A184" s="319" t="n">
        <v>166</v>
      </c>
      <c r="B184" s="207" t="n">
        <f aca="true">NOW()</f>
        <v>46079.3358630093</v>
      </c>
      <c r="C184" s="323" t="n">
        <f aca="false">+$D$11-D184</f>
        <v>479.515391278281</v>
      </c>
      <c r="D184" s="323" t="n">
        <f aca="false">+H183*$B$9/360*E184</f>
        <v>-292.11527522299</v>
      </c>
      <c r="E184" s="208" t="n">
        <v>30</v>
      </c>
      <c r="F184" s="323" t="n">
        <f aca="false">+C184+D184</f>
        <v>187.400116055291</v>
      </c>
      <c r="G184" s="324" t="n">
        <f aca="false">+F184+M184</f>
        <v>167.609723466469</v>
      </c>
      <c r="H184" s="320" t="n">
        <f aca="false">+H183-C184</f>
        <v>-25517.9675532489</v>
      </c>
      <c r="J184" s="325" t="n">
        <f aca="false">+H183*$J$18</f>
        <v>-19.0292236430976</v>
      </c>
      <c r="K184" s="323" t="n">
        <f aca="false">+J184*$K$18</f>
        <v>-0.666022827508418</v>
      </c>
      <c r="L184" s="323" t="n">
        <f aca="false">+J184*$L$18</f>
        <v>-0.0951461182154882</v>
      </c>
      <c r="M184" s="320" t="n">
        <f aca="false">+J184+K184+L184</f>
        <v>-19.7903925888215</v>
      </c>
    </row>
    <row r="185" customFormat="false" ht="12.75" hidden="false" customHeight="false" outlineLevel="0" collapsed="false">
      <c r="A185" s="319" t="n">
        <v>167</v>
      </c>
      <c r="B185" s="207" t="n">
        <f aca="false">+B184+E185</f>
        <v>46109.3358630093</v>
      </c>
      <c r="C185" s="323" t="n">
        <f aca="false">+$D$11-D185</f>
        <v>485.109737509861</v>
      </c>
      <c r="D185" s="323" t="n">
        <f aca="false">+H184*$B$9/360*E185</f>
        <v>-297.70962145457</v>
      </c>
      <c r="E185" s="208" t="n">
        <v>30</v>
      </c>
      <c r="F185" s="323" t="n">
        <f aca="false">+C185+D185</f>
        <v>187.400116055291</v>
      </c>
      <c r="G185" s="324" t="n">
        <f aca="false">+F185+M185</f>
        <v>167.230714501203</v>
      </c>
      <c r="H185" s="320" t="n">
        <f aca="false">+H184-C185</f>
        <v>-26003.0772907587</v>
      </c>
      <c r="J185" s="325" t="n">
        <f aca="false">+H184*$J$18</f>
        <v>-19.3936553404691</v>
      </c>
      <c r="K185" s="323" t="n">
        <f aca="false">+J185*$K$18</f>
        <v>-0.67877793691642</v>
      </c>
      <c r="L185" s="323" t="n">
        <f aca="false">+J185*$L$18</f>
        <v>-0.0969682767023457</v>
      </c>
      <c r="M185" s="320" t="n">
        <f aca="false">+J185+K185+L185</f>
        <v>-20.1694015540879</v>
      </c>
    </row>
    <row r="186" customFormat="false" ht="12.75" hidden="false" customHeight="false" outlineLevel="0" collapsed="false">
      <c r="A186" s="319" t="n">
        <v>168</v>
      </c>
      <c r="B186" s="207" t="n">
        <f aca="false">+B185+E186</f>
        <v>46139.3358630093</v>
      </c>
      <c r="C186" s="323" t="n">
        <f aca="false">+$D$11-D186</f>
        <v>490.769351114143</v>
      </c>
      <c r="D186" s="323" t="n">
        <f aca="false">+H185*$B$9/360*E186</f>
        <v>-303.369235058852</v>
      </c>
      <c r="E186" s="208" t="n">
        <v>30</v>
      </c>
      <c r="F186" s="323" t="n">
        <f aca="false">+C186+D186</f>
        <v>187.400116055291</v>
      </c>
      <c r="G186" s="324" t="n">
        <f aca="false">+F186+M186</f>
        <v>166.847283764675</v>
      </c>
      <c r="H186" s="320" t="n">
        <f aca="false">+H185-C186</f>
        <v>-26493.8466418729</v>
      </c>
      <c r="J186" s="325" t="n">
        <f aca="false">+H185*$J$18</f>
        <v>-19.7623387409766</v>
      </c>
      <c r="K186" s="323" t="n">
        <f aca="false">+J186*$K$18</f>
        <v>-0.691681855934182</v>
      </c>
      <c r="L186" s="323" t="n">
        <f aca="false">+J186*$L$18</f>
        <v>-0.0988116937048831</v>
      </c>
      <c r="M186" s="320" t="n">
        <f aca="false">+J186+K186+L186</f>
        <v>-20.5528322906157</v>
      </c>
    </row>
    <row r="187" customFormat="false" ht="12.75" hidden="false" customHeight="false" outlineLevel="0" collapsed="false">
      <c r="A187" s="319" t="n">
        <v>169</v>
      </c>
      <c r="B187" s="207" t="n">
        <f aca="false">+B186+E187</f>
        <v>46169.3358630093</v>
      </c>
      <c r="C187" s="323" t="n">
        <f aca="false">+$D$11-D187</f>
        <v>496.494993543808</v>
      </c>
      <c r="D187" s="323" t="n">
        <f aca="false">+H186*$B$9/360*E187</f>
        <v>-309.094877488517</v>
      </c>
      <c r="E187" s="208" t="n">
        <v>30</v>
      </c>
      <c r="F187" s="323" t="n">
        <f aca="false">+C187+D187</f>
        <v>187.400116055291</v>
      </c>
      <c r="G187" s="324" t="n">
        <f aca="false">+F187+M187</f>
        <v>166.459379669555</v>
      </c>
      <c r="H187" s="320" t="n">
        <f aca="false">+H186-C187</f>
        <v>-26990.3416354167</v>
      </c>
      <c r="J187" s="325" t="n">
        <f aca="false">+H186*$J$18</f>
        <v>-20.1353234478234</v>
      </c>
      <c r="K187" s="323" t="n">
        <f aca="false">+J187*$K$18</f>
        <v>-0.704736320673818</v>
      </c>
      <c r="L187" s="323" t="n">
        <f aca="false">+J187*$L$18</f>
        <v>-0.100676617239117</v>
      </c>
      <c r="M187" s="320" t="n">
        <f aca="false">+J187+K187+L187</f>
        <v>-20.9407363857363</v>
      </c>
    </row>
    <row r="188" customFormat="false" ht="12.75" hidden="false" customHeight="false" outlineLevel="0" collapsed="false">
      <c r="A188" s="319" t="n">
        <v>170</v>
      </c>
      <c r="B188" s="207" t="n">
        <f aca="true">NOW()</f>
        <v>46079.3358630093</v>
      </c>
      <c r="C188" s="323" t="n">
        <f aca="false">+$D$11-D188</f>
        <v>502.287435135152</v>
      </c>
      <c r="D188" s="323" t="n">
        <f aca="false">+H187*$B$9/360*E188</f>
        <v>-314.887319079861</v>
      </c>
      <c r="E188" s="208" t="n">
        <v>30</v>
      </c>
      <c r="F188" s="323" t="n">
        <f aca="false">+C188+D188</f>
        <v>187.400116055291</v>
      </c>
      <c r="G188" s="324" t="n">
        <f aca="false">+F188+M188</f>
        <v>166.066950026658</v>
      </c>
      <c r="H188" s="320" t="n">
        <f aca="false">+H187-C188</f>
        <v>-27492.6290705518</v>
      </c>
      <c r="J188" s="325" t="n">
        <f aca="false">+H187*$J$18</f>
        <v>-20.5126596429167</v>
      </c>
      <c r="K188" s="323" t="n">
        <f aca="false">+J188*$K$18</f>
        <v>-0.717943087502084</v>
      </c>
      <c r="L188" s="323" t="n">
        <f aca="false">+J188*$L$18</f>
        <v>-0.102563298214583</v>
      </c>
      <c r="M188" s="320" t="n">
        <f aca="false">+J188+K188+L188</f>
        <v>-21.3331660286333</v>
      </c>
    </row>
    <row r="189" customFormat="false" ht="12.75" hidden="false" customHeight="false" outlineLevel="0" collapsed="false">
      <c r="A189" s="319" t="n">
        <v>171</v>
      </c>
      <c r="B189" s="207" t="n">
        <f aca="true">NOW()</f>
        <v>46079.3358630093</v>
      </c>
      <c r="C189" s="323" t="n">
        <f aca="false">+$D$11-D189</f>
        <v>508.147455211729</v>
      </c>
      <c r="D189" s="323" t="n">
        <f aca="false">+H188*$B$9/360*E189</f>
        <v>-320.747339156438</v>
      </c>
      <c r="E189" s="208" t="n">
        <v>30</v>
      </c>
      <c r="F189" s="323" t="n">
        <f aca="false">+C189+D189</f>
        <v>187.400116055291</v>
      </c>
      <c r="G189" s="324" t="n">
        <f aca="false">+F189+M189</f>
        <v>165.669942037927</v>
      </c>
      <c r="H189" s="320" t="n">
        <f aca="false">+H188-C189</f>
        <v>-28000.7765257636</v>
      </c>
      <c r="J189" s="325" t="n">
        <f aca="false">+H188*$J$18</f>
        <v>-20.8943980936194</v>
      </c>
      <c r="K189" s="323" t="n">
        <f aca="false">+J189*$K$18</f>
        <v>-0.731303933276679</v>
      </c>
      <c r="L189" s="323" t="n">
        <f aca="false">+J189*$L$18</f>
        <v>-0.104471990468097</v>
      </c>
      <c r="M189" s="320" t="n">
        <f aca="false">+J189+K189+L189</f>
        <v>-21.7301740173642</v>
      </c>
    </row>
    <row r="190" customFormat="false" ht="12.75" hidden="false" customHeight="false" outlineLevel="0" collapsed="false">
      <c r="A190" s="319" t="n">
        <v>172</v>
      </c>
      <c r="B190" s="207" t="n">
        <f aca="true">NOW()</f>
        <v>46079.3358630093</v>
      </c>
      <c r="C190" s="323" t="n">
        <f aca="false">+$D$11-D190</f>
        <v>514.075842189199</v>
      </c>
      <c r="D190" s="323" t="n">
        <f aca="false">+H189*$B$9/360*E190</f>
        <v>-326.675726133908</v>
      </c>
      <c r="E190" s="208" t="n">
        <v>30</v>
      </c>
      <c r="F190" s="323" t="n">
        <f aca="false">+C190+D190</f>
        <v>187.400116055291</v>
      </c>
      <c r="G190" s="324" t="n">
        <f aca="false">+F190+M190</f>
        <v>165.268302289327</v>
      </c>
      <c r="H190" s="320" t="n">
        <f aca="false">+H189-C190</f>
        <v>-28514.8523679528</v>
      </c>
      <c r="J190" s="325" t="n">
        <f aca="false">+H189*$J$18</f>
        <v>-21.2805901595803</v>
      </c>
      <c r="K190" s="323" t="n">
        <f aca="false">+J190*$K$18</f>
        <v>-0.744820655585311</v>
      </c>
      <c r="L190" s="323" t="n">
        <f aca="false">+J190*$L$18</f>
        <v>-0.106402950797902</v>
      </c>
      <c r="M190" s="320" t="n">
        <f aca="false">+J190+K190+L190</f>
        <v>-22.1318137659635</v>
      </c>
    </row>
    <row r="191" customFormat="false" ht="12.75" hidden="false" customHeight="false" outlineLevel="0" collapsed="false">
      <c r="A191" s="319" t="n">
        <v>173</v>
      </c>
      <c r="B191" s="207" t="n">
        <f aca="true">NOW()</f>
        <v>46079.3358630093</v>
      </c>
      <c r="C191" s="323" t="n">
        <f aca="false">+$D$11-D191</f>
        <v>520.073393681406</v>
      </c>
      <c r="D191" s="323" t="n">
        <f aca="false">+H190*$B$9/360*E191</f>
        <v>-332.673277626115</v>
      </c>
      <c r="E191" s="208" t="n">
        <v>30</v>
      </c>
      <c r="F191" s="323" t="n">
        <f aca="false">+C191+D191</f>
        <v>187.400116055291</v>
      </c>
      <c r="G191" s="324" t="n">
        <f aca="false">+F191+M191</f>
        <v>164.861976743661</v>
      </c>
      <c r="H191" s="320" t="n">
        <f aca="false">+H190-C191</f>
        <v>-29034.9257616342</v>
      </c>
      <c r="J191" s="325" t="n">
        <f aca="false">+H190*$J$18</f>
        <v>-21.6712877996441</v>
      </c>
      <c r="K191" s="323" t="n">
        <f aca="false">+J191*$K$18</f>
        <v>-0.758495072987543</v>
      </c>
      <c r="L191" s="323" t="n">
        <f aca="false">+J191*$L$18</f>
        <v>-0.10835643899822</v>
      </c>
      <c r="M191" s="320" t="n">
        <f aca="false">+J191+K191+L191</f>
        <v>-22.5381393116299</v>
      </c>
    </row>
    <row r="192" customFormat="false" ht="12.75" hidden="false" customHeight="false" outlineLevel="0" collapsed="false">
      <c r="A192" s="319" t="n">
        <v>174</v>
      </c>
      <c r="B192" s="207" t="n">
        <f aca="true">NOW()</f>
        <v>46079.3358630093</v>
      </c>
      <c r="C192" s="323" t="n">
        <f aca="false">+$D$11-D192</f>
        <v>526.140916607689</v>
      </c>
      <c r="D192" s="323" t="n">
        <f aca="false">+H191*$B$9/360*E192</f>
        <v>-338.740800552399</v>
      </c>
      <c r="E192" s="208" t="n">
        <v>30</v>
      </c>
      <c r="F192" s="323" t="n">
        <f aca="false">+C192+D192</f>
        <v>187.400116055291</v>
      </c>
      <c r="G192" s="324" t="n">
        <f aca="false">+F192+M192</f>
        <v>164.450910733295</v>
      </c>
      <c r="H192" s="320" t="n">
        <f aca="false">+H191-C192</f>
        <v>-29561.0666782419</v>
      </c>
      <c r="J192" s="325" t="n">
        <f aca="false">+H191*$J$18</f>
        <v>-22.066543578842</v>
      </c>
      <c r="K192" s="323" t="n">
        <f aca="false">+J192*$K$18</f>
        <v>-0.772329025259469</v>
      </c>
      <c r="L192" s="323" t="n">
        <f aca="false">+J192*$L$18</f>
        <v>-0.11033271789421</v>
      </c>
      <c r="M192" s="320" t="n">
        <f aca="false">+J192+K192+L192</f>
        <v>-22.9492053219956</v>
      </c>
    </row>
    <row r="193" customFormat="false" ht="12.75" hidden="false" customHeight="false" outlineLevel="0" collapsed="false">
      <c r="A193" s="319" t="n">
        <v>175</v>
      </c>
      <c r="B193" s="207" t="n">
        <f aca="true">NOW()</f>
        <v>46079.3358630093</v>
      </c>
      <c r="C193" s="323" t="n">
        <f aca="false">+$D$11-D193</f>
        <v>532.279227301446</v>
      </c>
      <c r="D193" s="323" t="n">
        <f aca="false">+H192*$B$9/360*E193</f>
        <v>-344.879111246155</v>
      </c>
      <c r="E193" s="208" t="n">
        <v>30</v>
      </c>
      <c r="F193" s="323" t="n">
        <f aca="false">+C193+D193</f>
        <v>187.400116055291</v>
      </c>
      <c r="G193" s="324" t="n">
        <f aca="false">+F193+M193</f>
        <v>164.035048952809</v>
      </c>
      <c r="H193" s="320" t="n">
        <f aca="false">+H192-C193</f>
        <v>-30093.3459055433</v>
      </c>
      <c r="J193" s="325" t="n">
        <f aca="false">+H192*$J$18</f>
        <v>-22.4664106754638</v>
      </c>
      <c r="K193" s="323" t="n">
        <f aca="false">+J193*$K$18</f>
        <v>-0.786324373641233</v>
      </c>
      <c r="L193" s="323" t="n">
        <f aca="false">+J193*$L$18</f>
        <v>-0.112332053377319</v>
      </c>
      <c r="M193" s="320" t="n">
        <f aca="false">+J193+K193+L193</f>
        <v>-23.3650671024824</v>
      </c>
    </row>
    <row r="194" customFormat="false" ht="12.75" hidden="false" customHeight="false" outlineLevel="0" collapsed="false">
      <c r="A194" s="319" t="n">
        <v>176</v>
      </c>
      <c r="B194" s="207" t="n">
        <f aca="true">NOW()</f>
        <v>46079.3358630093</v>
      </c>
      <c r="C194" s="323" t="n">
        <f aca="false">+$D$11-D194</f>
        <v>538.489151619963</v>
      </c>
      <c r="D194" s="323" t="n">
        <f aca="false">+H193*$B$9/360*E194</f>
        <v>-351.089035564672</v>
      </c>
      <c r="E194" s="208" t="n">
        <v>30</v>
      </c>
      <c r="F194" s="323" t="n">
        <f aca="false">+C194+D194</f>
        <v>187.400116055291</v>
      </c>
      <c r="G194" s="324" t="n">
        <f aca="false">+F194+M194</f>
        <v>163.61433545155</v>
      </c>
      <c r="H194" s="320" t="n">
        <f aca="false">+H193-C194</f>
        <v>-30631.8350571633</v>
      </c>
      <c r="J194" s="325" t="n">
        <f aca="false">+H193*$J$18</f>
        <v>-22.8709428882129</v>
      </c>
      <c r="K194" s="323" t="n">
        <f aca="false">+J194*$K$18</f>
        <v>-0.800483001087452</v>
      </c>
      <c r="L194" s="323" t="n">
        <f aca="false">+J194*$L$18</f>
        <v>-0.114354714441065</v>
      </c>
      <c r="M194" s="320" t="n">
        <f aca="false">+J194+K194+L194</f>
        <v>-23.7857806037414</v>
      </c>
    </row>
    <row r="195" customFormat="false" ht="12.75" hidden="false" customHeight="false" outlineLevel="0" collapsed="false">
      <c r="A195" s="319" t="n">
        <v>177</v>
      </c>
      <c r="B195" s="207" t="n">
        <f aca="true">NOW()</f>
        <v>46079.3358630093</v>
      </c>
      <c r="C195" s="323" t="n">
        <f aca="false">+$D$11-D195</f>
        <v>544.771525055529</v>
      </c>
      <c r="D195" s="323" t="n">
        <f aca="false">+H194*$B$9/360*E195</f>
        <v>-357.371409000238</v>
      </c>
      <c r="E195" s="208" t="n">
        <v>30</v>
      </c>
      <c r="F195" s="323" t="n">
        <f aca="false">+C195+D195</f>
        <v>187.400116055291</v>
      </c>
      <c r="G195" s="324" t="n">
        <f aca="false">+F195+M195</f>
        <v>163.188713626109</v>
      </c>
      <c r="H195" s="320" t="n">
        <f aca="false">+H194-C195</f>
        <v>-31176.6065822188</v>
      </c>
      <c r="J195" s="325" t="n">
        <f aca="false">+H194*$J$18</f>
        <v>-23.2801946434441</v>
      </c>
      <c r="K195" s="323" t="n">
        <f aca="false">+J195*$K$18</f>
        <v>-0.814806812520543</v>
      </c>
      <c r="L195" s="323" t="n">
        <f aca="false">+J195*$L$18</f>
        <v>-0.11640097321722</v>
      </c>
      <c r="M195" s="320" t="n">
        <f aca="false">+J195+K195+L195</f>
        <v>-24.2114024291818</v>
      </c>
    </row>
    <row r="196" customFormat="false" ht="12.75" hidden="false" customHeight="false" outlineLevel="0" collapsed="false">
      <c r="A196" s="319" t="n">
        <v>178</v>
      </c>
      <c r="B196" s="207" t="n">
        <f aca="true">NOW()</f>
        <v>46079.3358630093</v>
      </c>
      <c r="C196" s="323" t="n">
        <f aca="false">+$D$11-D196</f>
        <v>551.127192847843</v>
      </c>
      <c r="D196" s="323" t="n">
        <f aca="false">+H195*$B$9/360*E196</f>
        <v>-363.727076792553</v>
      </c>
      <c r="E196" s="208" t="n">
        <v>30</v>
      </c>
      <c r="F196" s="323" t="n">
        <f aca="false">+C196+D196</f>
        <v>187.400116055291</v>
      </c>
      <c r="G196" s="324" t="n">
        <f aca="false">+F196+M196</f>
        <v>162.758126212705</v>
      </c>
      <c r="H196" s="320" t="n">
        <f aca="false">+H195-C196</f>
        <v>-31727.7337750666</v>
      </c>
      <c r="J196" s="325" t="n">
        <f aca="false">+H195*$J$18</f>
        <v>-23.6942210024863</v>
      </c>
      <c r="K196" s="323" t="n">
        <f aca="false">+J196*$K$18</f>
        <v>-0.82929773508702</v>
      </c>
      <c r="L196" s="323" t="n">
        <f aca="false">+J196*$L$18</f>
        <v>-0.118471105012431</v>
      </c>
      <c r="M196" s="320" t="n">
        <f aca="false">+J196+K196+L196</f>
        <v>-24.6419898425857</v>
      </c>
    </row>
    <row r="197" customFormat="false" ht="12.75" hidden="false" customHeight="false" outlineLevel="0" collapsed="false">
      <c r="A197" s="319" t="n">
        <v>179</v>
      </c>
      <c r="B197" s="207" t="n">
        <f aca="true">NOW()</f>
        <v>46079.3358630093</v>
      </c>
      <c r="C197" s="323" t="n">
        <f aca="false">+$D$11-D197</f>
        <v>557.557010097735</v>
      </c>
      <c r="D197" s="323" t="n">
        <f aca="false">+H196*$B$9/360*E197</f>
        <v>-370.156894042444</v>
      </c>
      <c r="E197" s="208" t="n">
        <v>30</v>
      </c>
      <c r="F197" s="323" t="n">
        <f aca="false">+C197+D197</f>
        <v>187.400116055291</v>
      </c>
      <c r="G197" s="324" t="n">
        <f aca="false">+F197+M197</f>
        <v>162.322515279478</v>
      </c>
      <c r="H197" s="320" t="n">
        <f aca="false">+H196-C197</f>
        <v>-32285.2907851644</v>
      </c>
      <c r="J197" s="325" t="n">
        <f aca="false">+H196*$J$18</f>
        <v>-24.1130776690506</v>
      </c>
      <c r="K197" s="323" t="n">
        <f aca="false">+J197*$K$18</f>
        <v>-0.843957718416773</v>
      </c>
      <c r="L197" s="323" t="n">
        <f aca="false">+J197*$L$18</f>
        <v>-0.120565388345253</v>
      </c>
      <c r="M197" s="320" t="n">
        <f aca="false">+J197+K197+L197</f>
        <v>-25.0776007758127</v>
      </c>
    </row>
    <row r="198" customFormat="false" ht="12.75" hidden="false" customHeight="false" outlineLevel="0" collapsed="false">
      <c r="A198" s="326" t="n">
        <v>180</v>
      </c>
      <c r="B198" s="327" t="n">
        <f aca="true">NOW()</f>
        <v>46079.3358630093</v>
      </c>
      <c r="C198" s="328" t="n">
        <f aca="false">+$D$11-D198</f>
        <v>564.061841882209</v>
      </c>
      <c r="D198" s="328" t="n">
        <f aca="false">+H197*$B$9/360*E198</f>
        <v>-376.661725826918</v>
      </c>
      <c r="E198" s="329" t="n">
        <v>30</v>
      </c>
      <c r="F198" s="328" t="n">
        <f aca="false">+C198+D198</f>
        <v>187.400116055291</v>
      </c>
      <c r="G198" s="324" t="n">
        <f aca="false">+F198+M198</f>
        <v>161.881822218697</v>
      </c>
      <c r="H198" s="330" t="n">
        <f aca="false">+H197-C198</f>
        <v>-32849.3526270466</v>
      </c>
      <c r="J198" s="331" t="n">
        <f aca="false">+H197*$J$18</f>
        <v>-24.5368209967249</v>
      </c>
      <c r="K198" s="328" t="n">
        <f aca="false">+J198*$K$18</f>
        <v>-0.858788734885372</v>
      </c>
      <c r="L198" s="328" t="n">
        <f aca="false">+J198*$L$18</f>
        <v>-0.122684104983625</v>
      </c>
      <c r="M198" s="330" t="n">
        <f aca="false">+J198+K198+L198</f>
        <v>-25.5182938365939</v>
      </c>
    </row>
    <row r="200" customFormat="false" ht="12.75" hidden="false" customHeight="false" outlineLevel="0" collapsed="false">
      <c r="C200" s="205" t="n">
        <f aca="false">+SUBTOTAL(9,C19:C198)</f>
        <v>42849.3526270466</v>
      </c>
      <c r="D200" s="205" t="n">
        <f aca="false">+SUBTOTAL(9,D19:D198)</f>
        <v>-9117.33173709421</v>
      </c>
      <c r="F200" s="205" t="n">
        <f aca="false">+SUBTOTAL(9,F19:F198)</f>
        <v>33732.0208899524</v>
      </c>
      <c r="J200" s="205" t="n">
        <f aca="false">+SUBTOTAL(9,J19:J198)</f>
        <v>-593.929038873566</v>
      </c>
      <c r="K200" s="205" t="n">
        <f aca="false">+SUBTOTAL(9,K19:K198)</f>
        <v>-20.7875163605748</v>
      </c>
      <c r="L200" s="205" t="n">
        <f aca="false">+SUBTOTAL(9,L19:L198)</f>
        <v>-2.96964519436783</v>
      </c>
    </row>
  </sheetData>
  <sheetProtection sheet="true" password="d4cc" objects="true" scenarios="true"/>
  <mergeCells count="1">
    <mergeCell ref="A6:H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8:C43"/>
  <sheetViews>
    <sheetView showFormulas="false" showGridLines="true" showRowColHeaders="true" showZeros="true" rightToLeft="false" tabSelected="false" showOutlineSymbols="true" defaultGridColor="true" view="normal" topLeftCell="A25" colorId="64" zoomScale="40" zoomScaleNormal="40" zoomScalePageLayoutView="100" workbookViewId="0">
      <selection pane="topLeft" activeCell="I43" activeCellId="0" sqref="I43"/>
    </sheetView>
  </sheetViews>
  <sheetFormatPr defaultColWidth="10.859375" defaultRowHeight="12.75" zeroHeight="false" outlineLevelRow="0" outlineLevelCol="0"/>
  <cols>
    <col collapsed="false" customWidth="true" hidden="false" outlineLevel="0" max="2" min="2" style="332" width="7"/>
    <col collapsed="false" customWidth="true" hidden="false" outlineLevel="0" max="3" min="3" style="333" width="31.57"/>
  </cols>
  <sheetData>
    <row r="28" customFormat="false" ht="13.8" hidden="false" customHeight="false" outlineLevel="0" collapsed="false">
      <c r="B28" s="334" t="s">
        <v>752</v>
      </c>
      <c r="C28" s="334"/>
    </row>
    <row r="29" customFormat="false" ht="13.8" hidden="false" customHeight="false" outlineLevel="0" collapsed="false">
      <c r="B29" s="335" t="s">
        <v>660</v>
      </c>
      <c r="C29" s="336" t="s">
        <v>753</v>
      </c>
    </row>
    <row r="30" customFormat="false" ht="13.8" hidden="false" customHeight="false" outlineLevel="0" collapsed="false">
      <c r="B30" s="335" t="s">
        <v>478</v>
      </c>
      <c r="C30" s="336" t="s">
        <v>754</v>
      </c>
    </row>
    <row r="31" customFormat="false" ht="13.8" hidden="false" customHeight="false" outlineLevel="0" collapsed="false">
      <c r="B31" s="335" t="s">
        <v>480</v>
      </c>
      <c r="C31" s="336" t="s">
        <v>755</v>
      </c>
    </row>
    <row r="32" customFormat="false" ht="13.8" hidden="false" customHeight="false" outlineLevel="0" collapsed="false">
      <c r="B32" s="335" t="s">
        <v>663</v>
      </c>
      <c r="C32" s="336" t="s">
        <v>756</v>
      </c>
    </row>
    <row r="33" customFormat="false" ht="13.8" hidden="false" customHeight="false" outlineLevel="0" collapsed="false">
      <c r="B33" s="335" t="s">
        <v>506</v>
      </c>
      <c r="C33" s="336" t="s">
        <v>757</v>
      </c>
    </row>
    <row r="34" customFormat="false" ht="13.8" hidden="false" customHeight="false" outlineLevel="0" collapsed="false">
      <c r="B34" s="335" t="s">
        <v>508</v>
      </c>
      <c r="C34" s="336" t="s">
        <v>758</v>
      </c>
    </row>
    <row r="35" customFormat="false" ht="13.8" hidden="false" customHeight="false" outlineLevel="0" collapsed="false">
      <c r="B35" s="335" t="s">
        <v>666</v>
      </c>
      <c r="C35" s="336" t="s">
        <v>759</v>
      </c>
    </row>
    <row r="36" customFormat="false" ht="13.8" hidden="false" customHeight="false" outlineLevel="0" collapsed="false">
      <c r="B36" s="335" t="s">
        <v>518</v>
      </c>
      <c r="C36" s="336" t="s">
        <v>760</v>
      </c>
    </row>
    <row r="37" customFormat="false" ht="13.8" hidden="false" customHeight="false" outlineLevel="0" collapsed="false">
      <c r="B37" s="335" t="s">
        <v>520</v>
      </c>
      <c r="C37" s="336" t="s">
        <v>761</v>
      </c>
    </row>
    <row r="38" customFormat="false" ht="13.8" hidden="false" customHeight="false" outlineLevel="0" collapsed="false">
      <c r="B38" s="335" t="s">
        <v>6</v>
      </c>
      <c r="C38" s="336" t="s">
        <v>762</v>
      </c>
    </row>
    <row r="39" customFormat="false" ht="13.8" hidden="false" customHeight="false" outlineLevel="0" collapsed="false">
      <c r="B39" s="335" t="s">
        <v>523</v>
      </c>
      <c r="C39" s="336" t="s">
        <v>763</v>
      </c>
    </row>
    <row r="40" customFormat="false" ht="13.8" hidden="false" customHeight="false" outlineLevel="0" collapsed="false">
      <c r="B40" s="335" t="s">
        <v>524</v>
      </c>
      <c r="C40" s="336" t="s">
        <v>764</v>
      </c>
    </row>
    <row r="41" customFormat="false" ht="13.8" hidden="false" customHeight="false" outlineLevel="0" collapsed="false">
      <c r="B41" s="335" t="s">
        <v>671</v>
      </c>
      <c r="C41" s="336" t="s">
        <v>765</v>
      </c>
    </row>
    <row r="42" customFormat="false" ht="13.8" hidden="false" customHeight="false" outlineLevel="0" collapsed="false">
      <c r="B42" s="335" t="s">
        <v>533</v>
      </c>
      <c r="C42" s="336" t="s">
        <v>766</v>
      </c>
    </row>
    <row r="43" customFormat="false" ht="13.8" hidden="false" customHeight="false" outlineLevel="0" collapsed="false">
      <c r="B43" s="335" t="s">
        <v>535</v>
      </c>
      <c r="C43" s="336" t="s">
        <v>767</v>
      </c>
    </row>
  </sheetData>
  <mergeCells count="1">
    <mergeCell ref="B28:C2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14"/>
  <sheetViews>
    <sheetView showFormulas="false" showGridLines="true" showRowColHeaders="true" showZeros="true" rightToLeft="false" tabSelected="false" showOutlineSymbols="true" defaultGridColor="true" view="normal" topLeftCell="C10" colorId="64" zoomScale="40" zoomScaleNormal="40" zoomScalePageLayoutView="100" workbookViewId="0">
      <selection pane="topLeft" activeCell="D9" activeCellId="0" sqref="D9"/>
    </sheetView>
  </sheetViews>
  <sheetFormatPr defaultColWidth="10.859375" defaultRowHeight="12.75" zeroHeight="false" outlineLevelRow="0" outlineLevelCol="0"/>
  <cols>
    <col collapsed="false" customWidth="true" hidden="false" outlineLevel="0" max="2" min="2" style="205" width="4.57"/>
    <col collapsed="false" customWidth="true" hidden="false" outlineLevel="0" max="3" min="3" style="205" width="39.42"/>
    <col collapsed="false" customWidth="true" hidden="false" outlineLevel="0" max="4" min="4" style="205" width="120.14"/>
  </cols>
  <sheetData>
    <row r="4" customFormat="false" ht="13.8" hidden="false" customHeight="false" outlineLevel="0" collapsed="false">
      <c r="B4" s="337" t="s">
        <v>768</v>
      </c>
      <c r="C4" s="337"/>
      <c r="D4" s="337"/>
    </row>
    <row r="5" customFormat="false" ht="13.8" hidden="false" customHeight="false" outlineLevel="0" collapsed="false">
      <c r="B5" s="337" t="s">
        <v>472</v>
      </c>
      <c r="C5" s="338" t="s">
        <v>769</v>
      </c>
      <c r="D5" s="338" t="s">
        <v>770</v>
      </c>
    </row>
    <row r="6" customFormat="false" ht="23.85" hidden="false" customHeight="false" outlineLevel="0" collapsed="false">
      <c r="B6" s="339" t="s">
        <v>478</v>
      </c>
      <c r="C6" s="340" t="s">
        <v>771</v>
      </c>
      <c r="D6" s="341" t="s">
        <v>772</v>
      </c>
    </row>
    <row r="7" customFormat="false" ht="23.85" hidden="false" customHeight="false" outlineLevel="0" collapsed="false">
      <c r="B7" s="339" t="s">
        <v>480</v>
      </c>
      <c r="C7" s="340" t="s">
        <v>773</v>
      </c>
      <c r="D7" s="341" t="s">
        <v>774</v>
      </c>
    </row>
    <row r="8" customFormat="false" ht="23.85" hidden="false" customHeight="false" outlineLevel="0" collapsed="false">
      <c r="B8" s="339" t="s">
        <v>482</v>
      </c>
      <c r="C8" s="340" t="s">
        <v>775</v>
      </c>
      <c r="D8" s="341" t="s">
        <v>776</v>
      </c>
    </row>
    <row r="9" customFormat="false" ht="13.8" hidden="false" customHeight="false" outlineLevel="0" collapsed="false">
      <c r="B9" s="342" t="s">
        <v>506</v>
      </c>
      <c r="C9" s="340" t="s">
        <v>777</v>
      </c>
      <c r="D9" s="341" t="s">
        <v>778</v>
      </c>
    </row>
    <row r="10" customFormat="false" ht="13.8" hidden="false" customHeight="false" outlineLevel="0" collapsed="false">
      <c r="B10" s="342" t="s">
        <v>508</v>
      </c>
      <c r="C10" s="340" t="s">
        <v>779</v>
      </c>
      <c r="D10" s="341" t="s">
        <v>780</v>
      </c>
    </row>
    <row r="11" customFormat="false" ht="13.8" hidden="false" customHeight="false" outlineLevel="0" collapsed="false">
      <c r="B11" s="342" t="s">
        <v>510</v>
      </c>
      <c r="C11" s="340" t="s">
        <v>781</v>
      </c>
      <c r="D11" s="341" t="s">
        <v>782</v>
      </c>
    </row>
    <row r="12" customFormat="false" ht="35.05" hidden="false" customHeight="false" outlineLevel="0" collapsed="false">
      <c r="B12" s="339" t="s">
        <v>783</v>
      </c>
      <c r="C12" s="340" t="s">
        <v>759</v>
      </c>
      <c r="D12" s="341" t="s">
        <v>784</v>
      </c>
    </row>
    <row r="13" customFormat="false" ht="35.05" hidden="false" customHeight="false" outlineLevel="0" collapsed="false">
      <c r="B13" s="339" t="s">
        <v>22</v>
      </c>
      <c r="C13" s="340" t="s">
        <v>785</v>
      </c>
      <c r="D13" s="341" t="s">
        <v>786</v>
      </c>
    </row>
    <row r="14" customFormat="false" ht="35.05" hidden="false" customHeight="false" outlineLevel="0" collapsed="false">
      <c r="B14" s="339" t="s">
        <v>787</v>
      </c>
      <c r="C14" s="340" t="s">
        <v>765</v>
      </c>
      <c r="D14" s="341" t="s">
        <v>788</v>
      </c>
    </row>
  </sheetData>
  <mergeCells count="1">
    <mergeCell ref="B4:D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8"/>
  <sheetViews>
    <sheetView showFormulas="false" showGridLines="true" showRowColHeaders="true" showZeros="true" rightToLeft="false" tabSelected="false" showOutlineSymbols="true" defaultGridColor="true" view="normal" topLeftCell="A1" colorId="64" zoomScale="40" zoomScaleNormal="40" zoomScalePageLayoutView="100" workbookViewId="0">
      <selection pane="topLeft" activeCell="D3" activeCellId="0" sqref="D3"/>
    </sheetView>
  </sheetViews>
  <sheetFormatPr defaultColWidth="10.859375" defaultRowHeight="12.75" zeroHeight="false" outlineLevelRow="0" outlineLevelCol="0"/>
  <cols>
    <col collapsed="false" customWidth="true" hidden="false" outlineLevel="0" max="1" min="1" style="205" width="5.57"/>
    <col collapsed="false" customWidth="true" hidden="false" outlineLevel="0" max="2" min="2" style="205" width="31.71"/>
  </cols>
  <sheetData>
    <row r="2" customFormat="false" ht="15" hidden="false" customHeight="false" outlineLevel="0" collapsed="false">
      <c r="A2" s="343" t="s">
        <v>789</v>
      </c>
      <c r="B2" s="343"/>
    </row>
    <row r="3" customFormat="false" ht="15" hidden="false" customHeight="false" outlineLevel="0" collapsed="false">
      <c r="A3" s="344" t="s">
        <v>790</v>
      </c>
      <c r="B3" s="344"/>
      <c r="D3" s="345"/>
    </row>
    <row r="4" customFormat="false" ht="13.8" hidden="false" customHeight="false" outlineLevel="0" collapsed="false">
      <c r="A4" s="346" t="s">
        <v>791</v>
      </c>
      <c r="B4" s="346" t="s">
        <v>473</v>
      </c>
    </row>
    <row r="5" customFormat="false" ht="12.75" hidden="false" customHeight="false" outlineLevel="0" collapsed="false">
      <c r="A5" s="347" t="n">
        <v>1</v>
      </c>
      <c r="B5" s="208" t="s">
        <v>477</v>
      </c>
    </row>
    <row r="6" customFormat="false" ht="12.75" hidden="false" customHeight="false" outlineLevel="0" collapsed="false">
      <c r="A6" s="347" t="n">
        <v>2</v>
      </c>
      <c r="B6" s="208" t="s">
        <v>792</v>
      </c>
    </row>
    <row r="7" customFormat="false" ht="12.75" hidden="false" customHeight="false" outlineLevel="0" collapsed="false">
      <c r="A7" s="347" t="n">
        <v>3</v>
      </c>
      <c r="B7" s="208" t="s">
        <v>793</v>
      </c>
    </row>
    <row r="8" customFormat="false" ht="12.75" hidden="false" customHeight="false" outlineLevel="0" collapsed="false">
      <c r="A8" s="347" t="n">
        <v>4</v>
      </c>
      <c r="B8" s="208" t="s">
        <v>522</v>
      </c>
    </row>
    <row r="9" customFormat="false" ht="12.75" hidden="false" customHeight="false" outlineLevel="0" collapsed="false">
      <c r="A9" s="347" t="n">
        <v>5</v>
      </c>
      <c r="B9" s="208" t="s">
        <v>532</v>
      </c>
    </row>
    <row r="10" customFormat="false" ht="12.75" hidden="false" customHeight="false" outlineLevel="0" collapsed="false">
      <c r="A10" s="347" t="n">
        <v>6</v>
      </c>
      <c r="B10" s="208" t="s">
        <v>549</v>
      </c>
    </row>
    <row r="11" customFormat="false" ht="12.75" hidden="false" customHeight="false" outlineLevel="0" collapsed="false">
      <c r="A11" s="347" t="n">
        <v>7</v>
      </c>
      <c r="B11" s="208" t="s">
        <v>569</v>
      </c>
    </row>
    <row r="12" customFormat="false" ht="12.75" hidden="false" customHeight="false" outlineLevel="0" collapsed="false">
      <c r="A12" s="347" t="n">
        <v>8</v>
      </c>
      <c r="B12" s="208" t="s">
        <v>577</v>
      </c>
    </row>
    <row r="13" customFormat="false" ht="12.75" hidden="false" customHeight="false" outlineLevel="0" collapsed="false">
      <c r="A13" s="347" t="n">
        <v>9</v>
      </c>
      <c r="B13" s="208" t="s">
        <v>594</v>
      </c>
    </row>
    <row r="14" customFormat="false" ht="12.75" hidden="false" customHeight="false" outlineLevel="0" collapsed="false">
      <c r="A14" s="347" t="n">
        <v>10</v>
      </c>
      <c r="B14" s="208" t="s">
        <v>599</v>
      </c>
    </row>
    <row r="15" customFormat="false" ht="12.75" hidden="false" customHeight="false" outlineLevel="0" collapsed="false">
      <c r="A15" s="347" t="n">
        <v>11</v>
      </c>
      <c r="B15" s="208" t="s">
        <v>610</v>
      </c>
    </row>
    <row r="16" customFormat="false" ht="12.75" hidden="false" customHeight="false" outlineLevel="0" collapsed="false">
      <c r="A16" s="347" t="n">
        <v>12</v>
      </c>
      <c r="B16" s="208" t="s">
        <v>621</v>
      </c>
    </row>
    <row r="17" customFormat="false" ht="12.75" hidden="false" customHeight="false" outlineLevel="0" collapsed="false">
      <c r="A17" s="348" t="n">
        <v>13</v>
      </c>
      <c r="B17" s="349" t="s">
        <v>630</v>
      </c>
    </row>
    <row r="18" customFormat="false" ht="12.75" hidden="false" customHeight="false" outlineLevel="0" collapsed="false">
      <c r="A18" s="347" t="n">
        <v>14</v>
      </c>
      <c r="B18" s="208" t="s">
        <v>640</v>
      </c>
      <c r="J18" s="205" t="s">
        <v>794</v>
      </c>
    </row>
  </sheetData>
  <mergeCells count="2">
    <mergeCell ref="A2:B2"/>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1827</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2022-10-17T21:43:18Z</dcterms:created>
  <dc:creator>TI</dc:creator>
  <dc:description/>
  <dc:language>es-EC</dc:language>
  <cp:lastModifiedBy/>
  <cp:lastPrinted>2026-01-08T09:50:18Z</cp:lastPrinted>
  <dcterms:modified xsi:type="dcterms:W3CDTF">2026-02-26T08:03:37Z</dcterms:modified>
  <cp:revision>321</cp:revision>
  <dc:subject/>
  <dc:title/>
</cp:coreProperties>
</file>

<file path=docProps/custom.xml><?xml version="1.0" encoding="utf-8"?>
<Properties xmlns="http://schemas.openxmlformats.org/officeDocument/2006/custom-properties" xmlns:vt="http://schemas.openxmlformats.org/officeDocument/2006/docPropsVTypes"/>
</file>