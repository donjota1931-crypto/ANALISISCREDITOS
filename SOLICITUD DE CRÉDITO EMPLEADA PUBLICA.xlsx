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<sst xmlns="http://schemas.openxmlformats.org/spreadsheetml/2006/main" count="763" uniqueCount="579">
  <si>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</si>
  <si>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</si>
  <si>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</si>
  <si>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</si>
  <si>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</si>
  <si>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</si>
  <si>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</si>
  <si>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</si>
  <si>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</si>
  <si>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</si>
  <si>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</si>
  <si>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</si>
  <si>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</si>
  <si>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</si>
  <si>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</si>
  <si>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</si>
  <si>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</si>
  <si>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</si>
  <si>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</si>
  <si>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</si>
  <si>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</si>
  <si>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</si>
  <si>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</si>
  <si>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</si>
  <si>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</si>
  <si>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</si>
  <si>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</si>
  <si>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</si>
  <si>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</si>
  <si>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</si>
  <si>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</si>
  <si>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</si>
  <si>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</si>
  <si>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</si>
  <si>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</si>
  <si>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</si>
  <si>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</si>
  <si>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</si>
  <si>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</si>
  <si>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</si>
  <si>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</si>
  <si>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</si>
  <si>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</si>
  <si>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</si>
  <si>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</si>
  <si>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</si>
  <si>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</si>
  <si>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</si>
  <si>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</si>
  <si>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</si>
  <si>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</si>
  <si>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</si>
  <si>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</si>
  <si>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</si>
  <si>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</si>
  <si>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</si>
  <si>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</si>
  <si>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</si>
  <si>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</si>
  <si>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</si>
  <si>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</si>
  <si>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</si>
  <si>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</si>
  <si>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</si>
  <si>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</si>
  <si>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</si>
  <si>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</si>
  <si>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</si>
  <si>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</si>
  <si>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</si>
  <si>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</si>
  <si>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</si>
  <si>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</si>
  <si>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</si>
  <si>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</si>
  <si>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</si>
  <si>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</si>
  <si>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</si>
  <si>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</si>
  <si>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</si>
  <si>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</si>
  <si>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</si>
  <si>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</si>
  <si>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</si>
  <si>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</si>
  <si>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</si>
  <si>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</si>
  <si>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</si>
  <si>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</si>
  <si>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</si>
  <si>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</si>
  <si>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</si>
  <si>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</si>
  <si>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</si>
  <si>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</si>
  <si>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</si>
  <si>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</si>
  <si>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</si>
  <si>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</si>
  <si>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</si>
  <si>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</si>
  <si>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</si>
  <si>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</si>
  <si>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</si>
  <si>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</si>
  <si>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</si>
  <si>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</si>
  <si>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</si>
  <si>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</si>
  <si>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</si>
  <si>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</si>
  <si>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</si>
  <si>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</si>
  <si>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</si>
  <si>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</si>
  <si>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</si>
  <si>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</si>
  <si>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</si>
  <si>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</si>
  <si>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</si>
  <si>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</si>
  <si>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</si>
  <si>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</si>
  <si>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</si>
  <si>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</si>
  <si>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</si>
  <si>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</si>
  <si>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</si>
  <si>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</si>
  <si>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</si>
  <si>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</si>
  <si>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ELECTRODOMÉSTICOS</t>
  </si>
  <si>
    <t xml:space="preserve">2. DATOS PERSONALES</t>
  </si>
  <si>
    <t xml:space="preserve">Socio</t>
  </si>
  <si>
    <t xml:space="preserve">Apellidos y Nombres</t>
  </si>
  <si>
    <t xml:space="preserve">SANCHEZ GUANANGA NANCY BEATRIZ</t>
  </si>
  <si>
    <t xml:space="preserve">Cédula</t>
  </si>
  <si>
    <t xml:space="preserve">Nacionalidad</t>
  </si>
  <si>
    <t xml:space="preserve">ECUATORIANA</t>
  </si>
  <si>
    <t xml:space="preserve">Lugar y Fecha de Nacimiento</t>
  </si>
  <si>
    <t xml:space="preserve">NUEVA LOJA, CABECERA CANTONAL</t>
  </si>
  <si>
    <t xml:space="preserve">Edad</t>
  </si>
  <si>
    <t xml:space="preserve">Est. Civil</t>
  </si>
  <si>
    <t xml:space="preserve">Género</t>
  </si>
  <si>
    <t xml:space="preserve">F</t>
  </si>
  <si>
    <t xml:space="preserve">Etnia</t>
  </si>
  <si>
    <t xml:space="preserve">Niv. Instrucción</t>
  </si>
  <si>
    <t xml:space="preserve">Profesión</t>
  </si>
  <si>
    <t xml:space="preserve">MAGISTER EN CONTABILIDAD</t>
  </si>
  <si>
    <t xml:space="preserve">Cargas Familiares</t>
  </si>
  <si>
    <t xml:space="preserve">3. DATOS DOMICILIO</t>
  </si>
  <si>
    <t xml:space="preserve">Provincia</t>
  </si>
  <si>
    <t xml:space="preserve">SUCUMBÌOS </t>
  </si>
  <si>
    <t xml:space="preserve">Cantón</t>
  </si>
  <si>
    <t xml:space="preserve">LAGO AGRIO </t>
  </si>
  <si>
    <t xml:space="preserve">Parroquia</t>
  </si>
  <si>
    <t xml:space="preserve">NUEVA LOJA</t>
  </si>
  <si>
    <t xml:space="preserve">Sector o barrio</t>
  </si>
  <si>
    <t xml:space="preserve">VILLA FLORA</t>
  </si>
  <si>
    <t xml:space="preserve">Calle principal</t>
  </si>
  <si>
    <t xml:space="preserve">GUAYAQUIL 706</t>
  </si>
  <si>
    <t xml:space="preserve">Calle secundaria</t>
  </si>
  <si>
    <t xml:space="preserve">JORGE AÑAZCO</t>
  </si>
  <si>
    <t xml:space="preserve">Ref.</t>
  </si>
  <si>
    <t xml:space="preserve">Tipo vivienda</t>
  </si>
  <si>
    <t xml:space="preserve">Propietario</t>
  </si>
  <si>
    <t xml:space="preserve">SANCHEZ EFRAIN</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</si>
  <si>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</si>
  <si>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</si>
  <si>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</si>
  <si>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</si>
  <si>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</si>
  <si>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</si>
  <si>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</si>
  <si>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FRENTE A CONFECCIONES PENALTY</t>
  </si>
  <si>
    <t xml:space="preserve">4. DATOS CÓNYUGE O CONVIVIENTE</t>
  </si>
  <si>
    <t xml:space="preserve">5. ACTIVIDAD ECONÓMICA (Situación Laboral)</t>
  </si>
  <si>
    <t xml:space="preserve">Cónyuge</t>
  </si>
  <si>
    <t xml:space="preserve">6. ACTIVIDAD DEPENDIENTE</t>
  </si>
  <si>
    <t xml:space="preserve">Nombre de la empresa</t>
  </si>
  <si>
    <t xml:space="preserve">GADM LAGO AGRIO</t>
  </si>
  <si>
    <t xml:space="preserve">Provincia/ Cantón/ Ciudad</t>
  </si>
  <si>
    <t xml:space="preserve">SUCUMBIOS / LAGO AGRIO / NUEVA LOJA</t>
  </si>
  <si>
    <t xml:space="preserve">Dirección de Trabajo</t>
  </si>
  <si>
    <t xml:space="preserve">AV 12 DE FEBRERO Y CALLE COFANES</t>
  </si>
  <si>
    <t xml:space="preserve">Teléfono de trabajo</t>
  </si>
  <si>
    <t xml:space="preserve">Cargo</t>
  </si>
  <si>
    <t xml:space="preserve">ANALISTA DE CONTABILIDAD</t>
  </si>
  <si>
    <t xml:space="preserve">Fecha de ingreso empleo</t>
  </si>
  <si>
    <t xml:space="preserve">2023/12</t>
  </si>
  <si>
    <t xml:space="preserve">Ingreso mensual</t>
  </si>
  <si>
    <t xml:space="preserve">951.54 USD</t>
  </si>
  <si>
    <t xml:space="preserve">Afiliado al IESS</t>
  </si>
  <si>
    <t xml:space="preserve">SI</t>
  </si>
  <si>
    <t xml:space="preserve">NO</t>
  </si>
  <si>
    <t xml:space="preserve">7. ACTIVIDAD INDEPENDIENTE</t>
  </si>
  <si>
    <t xml:space="preserve">Nombre de la Microempresa</t>
  </si>
  <si>
    <t xml:space="preserve">Actividad Económica</t>
  </si>
  <si>
    <t xml:space="preserve">Antigüedad (años)</t>
  </si>
  <si>
    <t xml:space="preserve">Número empleados</t>
  </si>
  <si>
    <t xml:space="preserve">Dirección Microempresa</t>
  </si>
  <si>
    <t xml:space="preserve">Condición local</t>
  </si>
  <si>
    <t xml:space="preserve">Lugar de Ventas</t>
  </si>
  <si>
    <t xml:space="preserve">Calle Principal</t>
  </si>
  <si>
    <t xml:space="preserve">Calle Secundaria</t>
  </si>
  <si>
    <t xml:space="preserve">8. REFERENCIAS PERSONALES Y FAMILIARES</t>
  </si>
  <si>
    <t xml:space="preserve">Nombre</t>
  </si>
  <si>
    <t xml:space="preserve">Dirección</t>
  </si>
  <si>
    <t xml:space="preserve">Teléfono</t>
  </si>
  <si>
    <t xml:space="preserve">Parentesco</t>
  </si>
  <si>
    <t xml:space="preserve">VERONICA SANCHEZ</t>
  </si>
  <si>
    <t xml:space="preserve">HERMANO</t>
  </si>
  <si>
    <t xml:space="preserve">WALTER SANCHEZ</t>
  </si>
  <si>
    <t xml:space="preserve">JALIL SANCHEZ</t>
  </si>
  <si>
    <t xml:space="preserve">PADRE</t>
  </si>
  <si>
    <t xml:space="preserve">9. CROQUIS O COORDENADAS DOMICILIO</t>
  </si>
  <si>
    <t xml:space="preserve">10. CROQUIS O COORDENADAS NEGOCIO</t>
  </si>
  <si>
    <t xml:space="preserve">0.08343015616397073, -76.88493357295101</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</si>
  <si>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</si>
  <si>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</si>
  <si>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</si>
  <si>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</si>
  <si>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</si>
  <si>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</si>
  <si>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</si>
  <si>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</si>
  <si>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</si>
  <si>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</si>
  <si>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</si>
  <si>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</si>
  <si>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</si>
  <si>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</si>
  <si>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</si>
  <si>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</si>
  <si>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</si>
  <si>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</si>
  <si>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</si>
  <si>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</si>
  <si>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</si>
  <si>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</si>
  <si>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</si>
  <si>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</si>
  <si>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</si>
  <si>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</si>
  <si>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</si>
  <si>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</si>
  <si>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</si>
  <si>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</si>
  <si>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</si>
  <si>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</si>
  <si>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</si>
  <si>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</si>
  <si>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</si>
  <si>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</si>
  <si>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</si>
  <si>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</si>
  <si>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</si>
  <si>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</si>
  <si>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</si>
  <si>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</si>
  <si>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</si>
  <si>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</si>
  <si>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</si>
  <si>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</si>
  <si>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</si>
  <si>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</si>
  <si>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</si>
  <si>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</si>
  <si>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</si>
  <si>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</si>
  <si>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</si>
  <si>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</si>
  <si>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</si>
  <si>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</si>
  <si>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</si>
  <si>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</si>
  <si>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</si>
  <si>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</si>
  <si>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</si>
  <si>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</si>
  <si>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</si>
  <si>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</si>
  <si>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</si>
  <si>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</si>
  <si>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</si>
  <si>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</si>
  <si>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</si>
  <si>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</si>
  <si>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</si>
  <si>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</si>
  <si>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</si>
  <si>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</si>
  <si>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</si>
  <si>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</si>
  <si>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12.2. AUXILIAR PASIVOS</t>
  </si>
  <si>
    <t xml:space="preserve">Plazo</t>
  </si>
  <si>
    <t xml:space="preserve">Cuota</t>
  </si>
  <si>
    <t xml:space="preserve">Saldo</t>
  </si>
  <si>
    <t xml:space="preserve">Destino</t>
  </si>
  <si>
    <t xml:space="preserve">DINERS DINERS</t>
  </si>
  <si>
    <t xml:space="preserve">NA</t>
  </si>
  <si>
    <t xml:space="preserve">CONSUMO</t>
  </si>
  <si>
    <t xml:space="preserve">DINERS MASTERCARD </t>
  </si>
  <si>
    <t xml:space="preserve">DINERS VISA</t>
  </si>
  <si>
    <t xml:space="preserve">BIESS</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</si>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</sst>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0.00\ ;&quot;$-&quot;#,##0.00\ ;&quot;$-&quot;#\ ;@\ "/>
    <numFmt numFmtId="176" formatCode="[$$-300A]#,##0"/>
    <numFmt numFmtId="177" formatCode="0.00"/>
    <numFmt numFmtId="178" formatCode="[$-300A]dddd&quot;, &quot;mmmm\ dd&quot;, &quot;yyyy"/>
  </numFmts>
  <fonts count="38">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6"/>
      <color rgb="FF000000"/>
      <name val="Arial"/>
      <family val="2"/>
      <charset val="1"/>
    </font>
    <font>
      <sz val="7"/>
      <color rgb="FF000000"/>
      <name val="Arial"/>
      <family val="2"/>
    </font>
    <font>
      <sz val="7"/>
      <color rgb="FF000000"/>
      <name val="Arial"/>
      <family val="2"/>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9"/>
      <color rgb="FF000000"/>
      <name val="Times New Roman"/>
      <family val="1"/>
      <charset val="1"/>
    </font>
    <font>
      <sz val="8"/>
      <color rgb="FF000000"/>
      <name val="Arial"/>
      <family val="0"/>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64" fontId="20" fillId="0" borderId="9" xfId="0" applyFont="true" applyBorder="true" applyAlignment="true" applyProtection="true">
      <alignment horizontal="general" vertical="bottom" textRotation="0" wrapText="false" indent="0" shrinkToFit="fals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21" fillId="0" borderId="10" xfId="0" applyFont="true" applyBorder="true" applyAlignment="true" applyProtection="true">
      <alignment horizontal="general" vertical="bottom" textRotation="0" wrapText="false" indent="0" shrinkToFit="false"/>
      <protection locked="false" hidden="false"/>
    </xf>
    <xf numFmtId="164" fontId="22"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3" fillId="0" borderId="44" xfId="0" applyFont="true" applyBorder="true" applyAlignment="true" applyProtection="true">
      <alignment horizontal="left" vertical="center" textRotation="0" wrapText="true" indent="0" shrinkToFit="false"/>
      <protection locked="true" hidden="false"/>
    </xf>
    <xf numFmtId="164" fontId="24" fillId="0" borderId="45" xfId="0" applyFont="true" applyBorder="true" applyAlignment="true" applyProtection="true">
      <alignment horizontal="center" vertical="center" textRotation="0" wrapText="true" indent="0" shrinkToFit="false"/>
      <protection locked="true" hidden="false"/>
    </xf>
    <xf numFmtId="164" fontId="22" fillId="0" borderId="11"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false" indent="0" shrinkToFit="false"/>
      <protection locked="true" hidden="false"/>
    </xf>
    <xf numFmtId="164" fontId="22" fillId="0" borderId="12" xfId="0" applyFont="true" applyBorder="true" applyAlignment="true" applyProtection="true">
      <alignment horizontal="center" vertical="center" textRotation="0" wrapText="false" indent="0" shrinkToFit="false"/>
      <protection locked="true" hidden="false"/>
    </xf>
    <xf numFmtId="164" fontId="25"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5"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6" fillId="0" borderId="50" xfId="0" applyFont="true" applyBorder="true" applyAlignment="true" applyProtection="true">
      <alignment horizontal="center" vertical="center" textRotation="0" wrapText="false" indent="0" shrinkToFit="false"/>
      <protection locked="true" hidden="false"/>
    </xf>
    <xf numFmtId="164" fontId="26" fillId="0" borderId="29" xfId="0" applyFont="true" applyBorder="true" applyAlignment="true" applyProtection="true">
      <alignment horizontal="center" vertical="center" textRotation="0" wrapText="false" indent="0" shrinkToFit="false"/>
      <protection locked="true" hidden="false"/>
    </xf>
    <xf numFmtId="164" fontId="26"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17" applyFont="true" applyBorder="true" applyAlignment="true" applyProtection="true">
      <alignment horizontal="center" vertical="center" textRotation="0" wrapText="false" indent="0" shrinkToFit="true"/>
      <protection locked="true" hidden="false"/>
    </xf>
    <xf numFmtId="175"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5" fontId="17" fillId="0" borderId="21" xfId="17" applyFont="true" applyBorder="true" applyAlignment="true" applyProtection="true">
      <alignment horizontal="center" vertical="center" textRotation="0" wrapText="false" indent="0" shrinkToFit="true"/>
      <protection locked="true" hidden="false"/>
    </xf>
    <xf numFmtId="175"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17" applyFont="true" applyBorder="true" applyAlignment="true" applyProtection="true">
      <alignment horizontal="center" vertical="center" textRotation="0" wrapText="false" indent="0" shrinkToFit="false"/>
      <protection locked="false" hidden="false"/>
    </xf>
    <xf numFmtId="175" fontId="17" fillId="0" borderId="51" xfId="17" applyFont="true" applyBorder="true" applyAlignment="true" applyProtection="true">
      <alignment horizontal="center" vertical="center" textRotation="0" wrapText="false" indent="0" shrinkToFit="true"/>
      <protection locked="true" hidden="false"/>
    </xf>
    <xf numFmtId="175"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left"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17" applyFont="true" applyBorder="true" applyAlignment="true" applyProtection="true">
      <alignment horizontal="center" vertical="center" textRotation="0" wrapText="false" indent="0" shrinkToFit="true"/>
      <protection locked="false" hidden="false"/>
    </xf>
    <xf numFmtId="175"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7"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28"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1"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2" fillId="11" borderId="75" xfId="36" applyFont="true" applyBorder="true" applyAlignment="true" applyProtection="true">
      <alignment horizontal="center" vertical="bottom" textRotation="0" wrapText="false" indent="0" shrinkToFit="false"/>
      <protection locked="true" hidden="false"/>
    </xf>
    <xf numFmtId="164" fontId="31" fillId="11" borderId="75" xfId="36" applyFont="true" applyBorder="true" applyAlignment="true" applyProtection="true">
      <alignment horizontal="center" vertical="bottom" textRotation="0" wrapText="false" indent="0" shrinkToFit="false"/>
      <protection locked="true" hidden="false"/>
    </xf>
    <xf numFmtId="169" fontId="31" fillId="11" borderId="75" xfId="36" applyFont="true" applyBorder="true" applyAlignment="true" applyProtection="true">
      <alignment horizontal="center" vertical="bottom" textRotation="0" wrapText="false" indent="0" shrinkToFit="false"/>
      <protection locked="true" hidden="false"/>
    </xf>
    <xf numFmtId="164" fontId="31" fillId="0" borderId="76" xfId="0" applyFont="true" applyBorder="true" applyAlignment="true" applyProtection="true">
      <alignment horizontal="general" vertical="bottom" textRotation="0" wrapText="false" indent="0" shrinkToFit="false"/>
      <protection locked="true" hidden="false"/>
    </xf>
    <xf numFmtId="169" fontId="31"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3"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4" fillId="0" borderId="0" xfId="36" applyFont="true" applyBorder="true" applyAlignment="true" applyProtection="true">
      <alignment horizontal="general" vertical="bottom" textRotation="0" wrapText="false" indent="0" shrinkToFit="false"/>
      <protection locked="true" hidden="false"/>
    </xf>
    <xf numFmtId="169" fontId="35" fillId="0" borderId="0" xfId="36" applyFont="true" applyBorder="true" applyAlignment="true" applyProtection="true">
      <alignment horizontal="general" vertical="center" textRotation="0" wrapText="false" indent="0" shrinkToFit="false"/>
      <protection locked="true" hidden="false"/>
    </xf>
    <xf numFmtId="164" fontId="35" fillId="0" borderId="0" xfId="36" applyFont="true" applyBorder="true" applyAlignment="true" applyProtection="true">
      <alignment horizontal="general" vertical="center" textRotation="0" wrapText="false" indent="0" shrinkToFit="false"/>
      <protection locked="true" hidden="false"/>
    </xf>
    <xf numFmtId="164" fontId="36" fillId="0" borderId="76" xfId="0" applyFont="true" applyBorder="true" applyAlignment="true" applyProtection="true">
      <alignment horizontal="general" vertical="bottom" textRotation="0" wrapText="false" indent="0" shrinkToFit="false"/>
      <protection locked="true" hidden="false"/>
    </xf>
    <xf numFmtId="164" fontId="37" fillId="12" borderId="76" xfId="0" applyFont="true" applyBorder="true" applyAlignment="true" applyProtection="true">
      <alignment horizontal="general" vertical="bottom" textRotation="0" wrapText="false" indent="0" shrinkToFit="false"/>
      <protection locked="true" hidden="false"/>
    </xf>
    <xf numFmtId="164" fontId="31"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2"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60840</xdr:colOff>
      <xdr:row>76</xdr:row>
      <xdr:rowOff>132840</xdr:rowOff>
    </xdr:to>
    <xdr:sp>
      <xdr:nvSpPr>
        <xdr:cNvPr id="0" name="Flecha: hacia arriba 4"/>
        <xdr:cNvSpPr/>
      </xdr:nvSpPr>
      <xdr:spPr>
        <a:xfrm>
          <a:off x="21960" y="9113400"/>
          <a:ext cx="38880" cy="68040"/>
        </a:xfrm>
        <a:custGeom>
          <a:avLst/>
          <a:gdLst>
            <a:gd name="textAreaLeft" fmla="*/ 11880 w 38880"/>
            <a:gd name="textAreaRight" fmla="*/ 35640 w 38880"/>
            <a:gd name="textAreaTop" fmla="*/ 11880 h 68040"/>
            <a:gd name="textAreaBottom" fmla="*/ 76680 h 680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60840</xdr:colOff>
      <xdr:row>76</xdr:row>
      <xdr:rowOff>132840</xdr:rowOff>
    </xdr:to>
    <xdr:sp>
      <xdr:nvSpPr>
        <xdr:cNvPr id="1" name="Flecha: hacia arriba 5"/>
        <xdr:cNvSpPr/>
      </xdr:nvSpPr>
      <xdr:spPr>
        <a:xfrm>
          <a:off x="3818160" y="9113400"/>
          <a:ext cx="38880" cy="68040"/>
        </a:xfrm>
        <a:custGeom>
          <a:avLst/>
          <a:gdLst>
            <a:gd name="textAreaLeft" fmla="*/ 11880 w 38880"/>
            <a:gd name="textAreaRight" fmla="*/ 35640 w 38880"/>
            <a:gd name="textAreaTop" fmla="*/ 11880 h 68040"/>
            <a:gd name="textAreaBottom" fmla="*/ 76680 h 680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163080</xdr:colOff>
      <xdr:row>3</xdr:row>
      <xdr:rowOff>49320</xdr:rowOff>
    </xdr:to>
    <xdr:pic>
      <xdr:nvPicPr>
        <xdr:cNvPr id="2" name="Imagen 6" descr=""/>
        <xdr:cNvPicPr/>
      </xdr:nvPicPr>
      <xdr:blipFill>
        <a:blip r:embed="rId1"/>
        <a:srcRect l="1041" t="0" r="1041" b="0"/>
        <a:stretch/>
      </xdr:blipFill>
      <xdr:spPr>
        <a:xfrm>
          <a:off x="5617440" y="0"/>
          <a:ext cx="1543320" cy="35424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1" sqref="U187:X188 B18"/>
    </sheetView>
  </sheetViews>
  <sheetFormatPr defaultColWidth="10.6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48576"/>
  <sheetViews>
    <sheetView showFormulas="false" showGridLines="false" showRowColHeaders="true" showZeros="true" rightToLeft="false" tabSelected="true" showOutlineSymbols="true" defaultGridColor="true" view="pageBreakPreview" topLeftCell="A1" colorId="64" zoomScale="160" zoomScaleNormal="120" zoomScalePageLayoutView="160" workbookViewId="0">
      <selection pane="topLeft" activeCell="U187" activeCellId="0" sqref="U187:X188"/>
    </sheetView>
  </sheetViews>
  <sheetFormatPr defaultColWidth="10.66796875" defaultRowHeight="14.2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19" t="s">
        <v>74</v>
      </c>
      <c r="U6" s="19"/>
      <c r="V6" s="19"/>
      <c r="W6" s="19"/>
      <c r="X6" s="19"/>
      <c r="Y6" s="19"/>
      <c r="Z6" s="19"/>
      <c r="AC6" s="21" t="s">
        <v>115</v>
      </c>
      <c r="AD6" s="21"/>
      <c r="AE6" s="21"/>
      <c r="AF6" s="23" t="n">
        <v>46206</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118</v>
      </c>
      <c r="U8" s="21" t="s">
        <v>119</v>
      </c>
      <c r="V8" s="21"/>
      <c r="W8" s="21"/>
      <c r="X8" s="19"/>
      <c r="Y8" s="21" t="s">
        <v>120</v>
      </c>
      <c r="Z8" s="21"/>
      <c r="AA8" s="21"/>
      <c r="AB8" s="21"/>
      <c r="AC8" s="21"/>
      <c r="AD8" s="19"/>
      <c r="AE8" s="30" t="s">
        <v>121</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96</v>
      </c>
      <c r="X10" s="36"/>
      <c r="Y10" s="36"/>
      <c r="Z10" s="36"/>
      <c r="AA10" s="36"/>
      <c r="AB10" s="36"/>
      <c r="AC10" s="36"/>
      <c r="AE10" s="21" t="s">
        <v>124</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5000</v>
      </c>
      <c r="D12" s="41"/>
      <c r="E12" s="41"/>
      <c r="F12" s="41"/>
      <c r="G12" s="21" t="s">
        <v>126</v>
      </c>
      <c r="H12" s="21"/>
      <c r="I12" s="21"/>
      <c r="J12" s="21"/>
      <c r="K12" s="19" t="n">
        <v>36</v>
      </c>
      <c r="L12" s="19"/>
      <c r="M12" s="21" t="s">
        <v>127</v>
      </c>
      <c r="N12" s="21"/>
      <c r="O12" s="21"/>
      <c r="P12" s="42" t="n">
        <f aca="false">IF(X12="Mensual", PMT(AL10/12, K12,-C12), IF(X12="Trimestral", PMT(AL10/4,K12/3,-C12), PMT(AL10/2,K12/6,-C12)))</f>
        <v>174.553405108977</v>
      </c>
      <c r="Q12" s="42"/>
      <c r="R12" s="42"/>
      <c r="S12" s="42"/>
      <c r="T12" s="21" t="s">
        <v>128</v>
      </c>
      <c r="U12" s="21"/>
      <c r="V12" s="21"/>
      <c r="W12" s="21"/>
      <c r="X12" s="36" t="s">
        <v>52</v>
      </c>
      <c r="Y12" s="36"/>
      <c r="Z12" s="36"/>
      <c r="AA12" s="36"/>
      <c r="AB12" s="36"/>
      <c r="AC12" s="36"/>
      <c r="AD12" s="21" t="s">
        <v>129</v>
      </c>
      <c r="AE12" s="21"/>
      <c r="AF12" s="21"/>
      <c r="AG12" s="43" t="s">
        <v>64</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t="n">
        <v>236973</v>
      </c>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2100793435</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0" t="s">
        <v>138</v>
      </c>
      <c r="F20" s="50"/>
      <c r="G20" s="50"/>
      <c r="H20" s="50"/>
      <c r="I20" s="52" t="s">
        <v>139</v>
      </c>
      <c r="J20" s="52"/>
      <c r="K20" s="52"/>
      <c r="L20" s="52"/>
      <c r="M20" s="52"/>
      <c r="N20" s="52"/>
      <c r="O20" s="52"/>
      <c r="P20" s="52"/>
      <c r="Q20" s="52"/>
      <c r="R20" s="50" t="s">
        <v>140</v>
      </c>
      <c r="S20" s="50"/>
      <c r="T20" s="50"/>
      <c r="U20" s="50"/>
      <c r="V20" s="50"/>
      <c r="W20" s="54" t="n">
        <v>33159</v>
      </c>
      <c r="X20" s="54"/>
      <c r="Y20" s="54"/>
      <c r="Z20" s="52" t="s">
        <v>141</v>
      </c>
      <c r="AA20" s="52"/>
      <c r="AB20" s="50" t="n">
        <v>35</v>
      </c>
      <c r="AC20" s="50"/>
      <c r="AD20" s="52" t="s">
        <v>142</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19" t="s">
        <v>144</v>
      </c>
      <c r="E22" s="52" t="s">
        <v>145</v>
      </c>
      <c r="F22" s="52"/>
      <c r="G22" s="50" t="s">
        <v>28</v>
      </c>
      <c r="H22" s="50"/>
      <c r="I22" s="50"/>
      <c r="J22" s="50"/>
      <c r="K22" s="50"/>
      <c r="L22" s="52" t="s">
        <v>146</v>
      </c>
      <c r="M22" s="52"/>
      <c r="N22" s="52"/>
      <c r="O22" s="52"/>
      <c r="P22" s="52"/>
      <c r="Q22" s="50" t="s">
        <v>33</v>
      </c>
      <c r="R22" s="50"/>
      <c r="S22" s="50"/>
      <c r="T22" s="50"/>
      <c r="U22" s="52" t="s">
        <v>147</v>
      </c>
      <c r="V22" s="52"/>
      <c r="W22" s="52"/>
      <c r="X22" s="55" t="s">
        <v>148</v>
      </c>
      <c r="Y22" s="55"/>
      <c r="Z22" s="55"/>
      <c r="AA22" s="55"/>
      <c r="AB22" s="55"/>
      <c r="AC22" s="55"/>
      <c r="AD22" s="21" t="s">
        <v>149</v>
      </c>
      <c r="AE22" s="21"/>
      <c r="AF22" s="21"/>
      <c r="AG22" s="21"/>
      <c r="AH22" s="21"/>
      <c r="AI22" s="21"/>
      <c r="AJ22" s="56" t="n">
        <v>1</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58" t="s">
        <v>158</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159</v>
      </c>
      <c r="B28" s="18"/>
      <c r="C28" s="18"/>
      <c r="D28" s="18"/>
      <c r="E28" s="18"/>
      <c r="F28" s="50" t="s">
        <v>160</v>
      </c>
      <c r="G28" s="50"/>
      <c r="H28" s="50"/>
      <c r="I28" s="50"/>
      <c r="J28" s="50"/>
      <c r="K28" s="50"/>
      <c r="L28" s="50"/>
      <c r="M28" s="50"/>
      <c r="N28" s="52" t="s">
        <v>161</v>
      </c>
      <c r="O28" s="52"/>
      <c r="P28" s="52"/>
      <c r="Q28" s="52"/>
      <c r="R28" s="52"/>
      <c r="S28" s="50" t="s">
        <v>162</v>
      </c>
      <c r="T28" s="50"/>
      <c r="U28" s="50"/>
      <c r="V28" s="50"/>
      <c r="W28" s="50"/>
      <c r="X28" s="50"/>
      <c r="Y28" s="50"/>
      <c r="Z28" s="50"/>
      <c r="AA28" s="52" t="s">
        <v>163</v>
      </c>
      <c r="AB28" s="52"/>
      <c r="AC28" s="59"/>
      <c r="AD28" s="59"/>
      <c r="AE28" s="59"/>
      <c r="AF28" s="59"/>
      <c r="AG28" s="59"/>
      <c r="AH28" s="59"/>
      <c r="AI28" s="59"/>
      <c r="AJ28" s="59"/>
      <c r="AK28" s="59"/>
      <c r="AL28" s="59"/>
      <c r="AM28" s="59"/>
      <c r="AN28" s="59"/>
      <c r="AO28" s="59"/>
    </row>
    <row r="29" customFormat="false" ht="2.25" hidden="false" customHeight="true" outlineLevel="0" collapsed="false">
      <c r="A29" s="38"/>
      <c r="AO29" s="40"/>
    </row>
    <row r="30" customFormat="false" ht="15" hidden="false" customHeight="true" outlineLevel="0" collapsed="false">
      <c r="A30" s="60" t="s">
        <v>164</v>
      </c>
      <c r="B30" s="60"/>
      <c r="C30" s="60"/>
      <c r="D30" s="60"/>
      <c r="E30" s="19" t="s">
        <v>19</v>
      </c>
      <c r="F30" s="19"/>
      <c r="G30" s="19"/>
      <c r="H30" s="19"/>
      <c r="I30" s="52" t="s">
        <v>165</v>
      </c>
      <c r="J30" s="52"/>
      <c r="K30" s="52"/>
      <c r="L30" s="50" t="s">
        <v>166</v>
      </c>
      <c r="M30" s="50"/>
      <c r="N30" s="50"/>
      <c r="O30" s="50"/>
      <c r="P30" s="50"/>
      <c r="Q30" s="50"/>
      <c r="R30" s="50"/>
      <c r="S30" s="52" t="s">
        <v>167</v>
      </c>
      <c r="T30" s="52"/>
      <c r="U30" s="52"/>
      <c r="V30" s="61"/>
      <c r="W30" s="61"/>
      <c r="X30" s="61"/>
      <c r="Y30" s="61"/>
      <c r="Z30" s="52" t="s">
        <v>168</v>
      </c>
      <c r="AA30" s="52"/>
      <c r="AB30" s="52"/>
      <c r="AC30" s="62" t="n">
        <v>62366698</v>
      </c>
      <c r="AD30" s="62"/>
      <c r="AE30" s="62"/>
      <c r="AF30" s="62"/>
      <c r="AG30" s="52" t="s">
        <v>169</v>
      </c>
      <c r="AH30" s="52"/>
      <c r="AI30" s="52"/>
      <c r="AJ30" s="52"/>
      <c r="AK30" s="44" t="n">
        <v>30</v>
      </c>
      <c r="AL30" s="44"/>
      <c r="AM30" s="44"/>
      <c r="AN30" s="44"/>
      <c r="AO30" s="44"/>
    </row>
    <row r="31" customFormat="false" ht="2.25" hidden="false" customHeight="true" outlineLevel="0" collapsed="false">
      <c r="A31" s="38"/>
      <c r="L31" s="7" t="s">
        <v>170</v>
      </c>
      <c r="AO31" s="40"/>
    </row>
    <row r="32" customFormat="false" ht="14.25" hidden="false" customHeight="false" outlineLevel="0" collapsed="false">
      <c r="A32" s="63" t="s">
        <v>171</v>
      </c>
      <c r="B32" s="63"/>
      <c r="C32" s="63"/>
      <c r="D32" s="63"/>
      <c r="E32" s="63"/>
      <c r="F32" s="64"/>
      <c r="G32" s="64"/>
      <c r="H32" s="64"/>
      <c r="I32" s="64"/>
      <c r="J32" s="65" t="s">
        <v>172</v>
      </c>
      <c r="K32" s="65"/>
      <c r="L32" s="65"/>
      <c r="M32" s="65"/>
      <c r="N32" s="66" t="n">
        <v>963026094</v>
      </c>
      <c r="O32" s="66"/>
      <c r="P32" s="66"/>
      <c r="Q32" s="66"/>
      <c r="R32" s="65" t="s">
        <v>173</v>
      </c>
      <c r="S32" s="65"/>
      <c r="T32" s="65"/>
      <c r="U32" s="65"/>
      <c r="V32" s="65"/>
      <c r="W32" s="65"/>
      <c r="X32" s="67" t="s">
        <v>174</v>
      </c>
      <c r="Y32" s="67"/>
      <c r="Z32" s="67"/>
      <c r="AA32" s="67"/>
      <c r="AB32" s="67"/>
      <c r="AC32" s="67"/>
      <c r="AD32" s="67"/>
      <c r="AE32" s="67"/>
      <c r="AF32" s="67"/>
      <c r="AG32" s="67"/>
      <c r="AH32" s="67"/>
      <c r="AI32" s="67"/>
      <c r="AJ32" s="67"/>
      <c r="AK32" s="67"/>
      <c r="AL32" s="67"/>
      <c r="AM32" s="67"/>
      <c r="AN32" s="67"/>
      <c r="AO32" s="67"/>
    </row>
    <row r="33" customFormat="false" ht="2.25" hidden="false" customHeight="true" outlineLevel="0" collapsed="false">
      <c r="A33" s="38"/>
      <c r="AO33" s="40"/>
    </row>
    <row r="34" customFormat="false" ht="15" hidden="false" customHeight="true" outlineLevel="0" collapsed="false">
      <c r="A34" s="48" t="s">
        <v>175</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c r="D36" s="50"/>
      <c r="E36" s="50"/>
      <c r="F36" s="51" t="s">
        <v>134</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136</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c r="F38" s="50"/>
      <c r="G38" s="50"/>
      <c r="H38" s="50"/>
      <c r="I38" s="51" t="s">
        <v>139</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44"/>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3" t="s">
        <v>143</v>
      </c>
      <c r="B40" s="63"/>
      <c r="C40" s="63"/>
      <c r="D40" s="68"/>
      <c r="E40" s="46"/>
      <c r="F40" s="69" t="s">
        <v>168</v>
      </c>
      <c r="G40" s="69"/>
      <c r="H40" s="69"/>
      <c r="I40" s="69"/>
      <c r="J40" s="69"/>
      <c r="K40" s="69"/>
      <c r="L40" s="66"/>
      <c r="M40" s="66"/>
      <c r="N40" s="66"/>
      <c r="O40" s="66"/>
      <c r="P40" s="46"/>
      <c r="Q40" s="46"/>
      <c r="R40" s="69" t="s">
        <v>173</v>
      </c>
      <c r="S40" s="69"/>
      <c r="T40" s="69"/>
      <c r="U40" s="69"/>
      <c r="V40" s="69"/>
      <c r="W40" s="69"/>
      <c r="X40" s="67"/>
      <c r="Y40" s="67"/>
      <c r="Z40" s="67"/>
      <c r="AA40" s="67"/>
      <c r="AB40" s="67"/>
      <c r="AC40" s="67"/>
      <c r="AD40" s="67"/>
      <c r="AE40" s="67"/>
      <c r="AF40" s="67"/>
      <c r="AG40" s="67"/>
      <c r="AH40" s="67"/>
      <c r="AI40" s="67"/>
      <c r="AJ40" s="67"/>
      <c r="AK40" s="67"/>
      <c r="AL40" s="67"/>
      <c r="AM40" s="67"/>
      <c r="AN40" s="67"/>
      <c r="AO40" s="67"/>
    </row>
    <row r="41" customFormat="false" ht="3.75" hidden="false" customHeight="true" outlineLevel="0" collapsed="false">
      <c r="A41" s="38"/>
      <c r="AO41" s="40"/>
    </row>
    <row r="42" customFormat="false" ht="15" hidden="false" customHeight="true" outlineLevel="0" collapsed="false">
      <c r="A42" s="48" t="s">
        <v>176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49</v>
      </c>
      <c r="L44" s="19"/>
      <c r="M44" s="19"/>
      <c r="N44" s="19"/>
      <c r="O44" s="19"/>
      <c r="P44" s="19"/>
      <c r="Q44" s="19"/>
      <c r="R44" s="19"/>
      <c r="T44" s="52" t="s">
        <v>177</v>
      </c>
      <c r="U44" s="52"/>
      <c r="V44" s="52"/>
      <c r="W44" s="52"/>
      <c r="X44" s="25"/>
      <c r="Y44" s="19"/>
      <c r="Z44" s="19"/>
      <c r="AA44" s="19"/>
      <c r="AB44" s="19"/>
      <c r="AC44" s="19"/>
      <c r="AD44" s="19"/>
      <c r="AE44" s="19"/>
      <c r="AF44" s="19"/>
      <c r="AO44" s="40"/>
    </row>
    <row r="45" customFormat="false" ht="2.25" hidden="false" customHeight="true" outlineLevel="0" collapsed="false">
      <c r="A45" s="70"/>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2"/>
    </row>
    <row r="46" customFormat="false" ht="9.75" hidden="false" customHeight="true" outlineLevel="0" collapsed="false">
      <c r="A46" s="73" t="s">
        <v>178</v>
      </c>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customFormat="false" ht="2.25" hidden="false" customHeight="true" outlineLevel="0" collapsed="false">
      <c r="A47" s="74"/>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6"/>
    </row>
    <row r="48" customFormat="false" ht="15" hidden="false" customHeight="true" outlineLevel="0" collapsed="false">
      <c r="A48" s="77"/>
      <c r="B48" s="77"/>
      <c r="C48" s="77"/>
      <c r="D48" s="77"/>
      <c r="E48" s="77"/>
      <c r="F48" s="77"/>
      <c r="G48" s="77"/>
      <c r="H48" s="77"/>
      <c r="I48" s="78" t="s">
        <v>111</v>
      </c>
      <c r="J48" s="78"/>
      <c r="K48" s="78"/>
      <c r="L48" s="78"/>
      <c r="M48" s="78"/>
      <c r="N48" s="78"/>
      <c r="O48" s="78"/>
      <c r="P48" s="78"/>
      <c r="Q48" s="78"/>
      <c r="R48" s="78"/>
      <c r="S48" s="78"/>
      <c r="T48" s="78"/>
      <c r="U48" s="78"/>
      <c r="V48" s="78"/>
      <c r="W48" s="78"/>
      <c r="X48" s="79" t="s">
        <v>177</v>
      </c>
      <c r="Y48" s="79"/>
      <c r="Z48" s="79"/>
      <c r="AA48" s="79"/>
      <c r="AB48" s="79"/>
      <c r="AC48" s="79"/>
      <c r="AD48" s="79"/>
      <c r="AE48" s="79"/>
      <c r="AF48" s="79"/>
      <c r="AG48" s="79"/>
      <c r="AH48" s="79"/>
      <c r="AI48" s="79"/>
      <c r="AJ48" s="79"/>
      <c r="AK48" s="79"/>
      <c r="AL48" s="79"/>
      <c r="AM48" s="79"/>
      <c r="AN48" s="79"/>
      <c r="AO48" s="79"/>
    </row>
    <row r="49" customFormat="false" ht="12" hidden="false" customHeight="true" outlineLevel="0" collapsed="false">
      <c r="A49" s="80" t="s">
        <v>179</v>
      </c>
      <c r="B49" s="80"/>
      <c r="C49" s="80"/>
      <c r="D49" s="80"/>
      <c r="E49" s="80"/>
      <c r="F49" s="80"/>
      <c r="G49" s="80"/>
      <c r="H49" s="80"/>
      <c r="I49" s="81" t="s">
        <v>180</v>
      </c>
      <c r="J49" s="81"/>
      <c r="K49" s="81"/>
      <c r="L49" s="81"/>
      <c r="M49" s="81"/>
      <c r="N49" s="81"/>
      <c r="O49" s="81"/>
      <c r="P49" s="81"/>
      <c r="Q49" s="81"/>
      <c r="R49" s="81"/>
      <c r="S49" s="81"/>
      <c r="T49" s="81"/>
      <c r="U49" s="81"/>
      <c r="V49" s="81"/>
      <c r="W49" s="81"/>
      <c r="X49" s="44"/>
      <c r="Y49" s="44"/>
      <c r="Z49" s="44"/>
      <c r="AA49" s="44"/>
      <c r="AB49" s="44"/>
      <c r="AC49" s="44"/>
      <c r="AD49" s="44"/>
      <c r="AE49" s="44"/>
      <c r="AF49" s="44"/>
      <c r="AG49" s="44"/>
      <c r="AH49" s="44"/>
      <c r="AI49" s="44"/>
      <c r="AJ49" s="44"/>
      <c r="AK49" s="44"/>
      <c r="AL49" s="44"/>
      <c r="AM49" s="44"/>
      <c r="AN49" s="44"/>
      <c r="AO49" s="44"/>
    </row>
    <row r="50" customFormat="false" ht="12" hidden="false" customHeight="true" outlineLevel="0" collapsed="false">
      <c r="A50" s="80" t="s">
        <v>181</v>
      </c>
      <c r="B50" s="80"/>
      <c r="C50" s="80"/>
      <c r="D50" s="80"/>
      <c r="E50" s="80"/>
      <c r="F50" s="80"/>
      <c r="G50" s="80"/>
      <c r="H50" s="80"/>
      <c r="I50" s="81" t="s">
        <v>182</v>
      </c>
      <c r="J50" s="81"/>
      <c r="K50" s="81"/>
      <c r="L50" s="81"/>
      <c r="M50" s="81"/>
      <c r="N50" s="81"/>
      <c r="O50" s="81"/>
      <c r="P50" s="81"/>
      <c r="Q50" s="81"/>
      <c r="R50" s="81"/>
      <c r="S50" s="81"/>
      <c r="T50" s="81"/>
      <c r="U50" s="81"/>
      <c r="V50" s="81"/>
      <c r="W50" s="81"/>
      <c r="X50" s="44"/>
      <c r="Y50" s="44"/>
      <c r="Z50" s="44"/>
      <c r="AA50" s="44"/>
      <c r="AB50" s="44"/>
      <c r="AC50" s="44"/>
      <c r="AD50" s="44"/>
      <c r="AE50" s="44"/>
      <c r="AF50" s="44"/>
      <c r="AG50" s="44"/>
      <c r="AH50" s="44"/>
      <c r="AI50" s="44"/>
      <c r="AJ50" s="44"/>
      <c r="AK50" s="44"/>
      <c r="AL50" s="44"/>
      <c r="AM50" s="44"/>
      <c r="AN50" s="44"/>
      <c r="AO50" s="44"/>
    </row>
    <row r="51" customFormat="false" ht="12" hidden="false" customHeight="true" outlineLevel="0" collapsed="false">
      <c r="A51" s="80" t="s">
        <v>183</v>
      </c>
      <c r="B51" s="80"/>
      <c r="C51" s="80"/>
      <c r="D51" s="80"/>
      <c r="E51" s="80"/>
      <c r="F51" s="80"/>
      <c r="G51" s="80"/>
      <c r="H51" s="80"/>
      <c r="I51" s="81" t="s">
        <v>184</v>
      </c>
      <c r="J51" s="81"/>
      <c r="K51" s="81"/>
      <c r="L51" s="81"/>
      <c r="M51" s="81"/>
      <c r="N51" s="81"/>
      <c r="O51" s="81"/>
      <c r="P51" s="81"/>
      <c r="Q51" s="81"/>
      <c r="R51" s="81"/>
      <c r="S51" s="81"/>
      <c r="T51" s="81"/>
      <c r="U51" s="81"/>
      <c r="V51" s="81"/>
      <c r="W51" s="81"/>
      <c r="X51" s="44"/>
      <c r="Y51" s="44"/>
      <c r="Z51" s="44"/>
      <c r="AA51" s="44"/>
      <c r="AB51" s="44"/>
      <c r="AC51" s="44"/>
      <c r="AD51" s="44"/>
      <c r="AE51" s="44"/>
      <c r="AF51" s="44"/>
      <c r="AG51" s="44"/>
      <c r="AH51" s="44"/>
      <c r="AI51" s="44"/>
      <c r="AJ51" s="44"/>
      <c r="AK51" s="44"/>
      <c r="AL51" s="44"/>
      <c r="AM51" s="44"/>
      <c r="AN51" s="44"/>
      <c r="AO51" s="44"/>
    </row>
    <row r="52" customFormat="false" ht="12" hidden="false" customHeight="true" outlineLevel="0" collapsed="false">
      <c r="A52" s="80" t="s">
        <v>185</v>
      </c>
      <c r="B52" s="80"/>
      <c r="C52" s="80"/>
      <c r="D52" s="80"/>
      <c r="E52" s="80"/>
      <c r="F52" s="80"/>
      <c r="G52" s="80"/>
      <c r="H52" s="80"/>
      <c r="I52" s="81" t="n">
        <v>980435997</v>
      </c>
      <c r="J52" s="81"/>
      <c r="K52" s="81"/>
      <c r="L52" s="81"/>
      <c r="M52" s="81"/>
      <c r="N52" s="81"/>
      <c r="O52" s="81"/>
      <c r="P52" s="81"/>
      <c r="Q52" s="81"/>
      <c r="R52" s="81"/>
      <c r="S52" s="81"/>
      <c r="T52" s="81"/>
      <c r="U52" s="81"/>
      <c r="V52" s="81"/>
      <c r="W52" s="81"/>
      <c r="X52" s="44"/>
      <c r="Y52" s="44"/>
      <c r="Z52" s="44"/>
      <c r="AA52" s="44"/>
      <c r="AB52" s="44"/>
      <c r="AC52" s="44"/>
      <c r="AD52" s="44"/>
      <c r="AE52" s="44"/>
      <c r="AF52" s="44"/>
      <c r="AG52" s="44"/>
      <c r="AH52" s="44"/>
      <c r="AI52" s="44"/>
      <c r="AJ52" s="44"/>
      <c r="AK52" s="44"/>
      <c r="AL52" s="44"/>
      <c r="AM52" s="44"/>
      <c r="AN52" s="44"/>
      <c r="AO52" s="44"/>
    </row>
    <row r="53" customFormat="false" ht="12" hidden="false" customHeight="true" outlineLevel="0" collapsed="false">
      <c r="A53" s="80" t="s">
        <v>186</v>
      </c>
      <c r="B53" s="80"/>
      <c r="C53" s="80"/>
      <c r="D53" s="80"/>
      <c r="E53" s="80"/>
      <c r="F53" s="80"/>
      <c r="G53" s="80"/>
      <c r="H53" s="80"/>
      <c r="I53" s="81" t="s">
        <v>187</v>
      </c>
      <c r="J53" s="81"/>
      <c r="K53" s="81"/>
      <c r="L53" s="81"/>
      <c r="M53" s="81"/>
      <c r="N53" s="81"/>
      <c r="O53" s="81"/>
      <c r="P53" s="81"/>
      <c r="Q53" s="81"/>
      <c r="R53" s="81"/>
      <c r="S53" s="81"/>
      <c r="T53" s="81"/>
      <c r="U53" s="81"/>
      <c r="V53" s="81"/>
      <c r="W53" s="81"/>
      <c r="X53" s="44"/>
      <c r="Y53" s="44"/>
      <c r="Z53" s="44"/>
      <c r="AA53" s="44"/>
      <c r="AB53" s="44"/>
      <c r="AC53" s="44"/>
      <c r="AD53" s="44"/>
      <c r="AE53" s="44"/>
      <c r="AF53" s="44"/>
      <c r="AG53" s="44"/>
      <c r="AH53" s="44"/>
      <c r="AI53" s="44"/>
      <c r="AJ53" s="44"/>
      <c r="AK53" s="44"/>
      <c r="AL53" s="44"/>
      <c r="AM53" s="44"/>
      <c r="AN53" s="44"/>
      <c r="AO53" s="44"/>
    </row>
    <row r="54" customFormat="false" ht="12" hidden="false" customHeight="true" outlineLevel="0" collapsed="false">
      <c r="A54" s="80" t="s">
        <v>188</v>
      </c>
      <c r="B54" s="80"/>
      <c r="C54" s="80"/>
      <c r="D54" s="80"/>
      <c r="E54" s="80"/>
      <c r="F54" s="80"/>
      <c r="G54" s="80"/>
      <c r="H54" s="80"/>
      <c r="I54" s="81" t="s">
        <v>189</v>
      </c>
      <c r="J54" s="81"/>
      <c r="K54" s="81"/>
      <c r="L54" s="81"/>
      <c r="M54" s="81"/>
      <c r="N54" s="81"/>
      <c r="O54" s="81"/>
      <c r="P54" s="81"/>
      <c r="Q54" s="81"/>
      <c r="R54" s="81"/>
      <c r="S54" s="81"/>
      <c r="T54" s="81"/>
      <c r="U54" s="81"/>
      <c r="V54" s="81"/>
      <c r="W54" s="81"/>
      <c r="X54" s="44"/>
      <c r="Y54" s="44"/>
      <c r="Z54" s="44"/>
      <c r="AA54" s="44"/>
      <c r="AB54" s="44"/>
      <c r="AC54" s="44"/>
      <c r="AD54" s="44"/>
      <c r="AE54" s="44"/>
      <c r="AF54" s="44"/>
      <c r="AG54" s="44"/>
      <c r="AH54" s="44"/>
      <c r="AI54" s="44"/>
      <c r="AJ54" s="44"/>
      <c r="AK54" s="44"/>
      <c r="AL54" s="44"/>
      <c r="AM54" s="44"/>
      <c r="AN54" s="44"/>
      <c r="AO54" s="44"/>
    </row>
    <row r="55" customFormat="false" ht="12" hidden="false" customHeight="true" outlineLevel="0" collapsed="false">
      <c r="A55" s="80" t="s">
        <v>190</v>
      </c>
      <c r="B55" s="80"/>
      <c r="C55" s="80"/>
      <c r="D55" s="80"/>
      <c r="E55" s="80"/>
      <c r="F55" s="80"/>
      <c r="G55" s="80"/>
      <c r="H55" s="80"/>
      <c r="I55" s="81" t="s">
        <v>191</v>
      </c>
      <c r="J55" s="81"/>
      <c r="K55" s="81"/>
      <c r="L55" s="81"/>
      <c r="M55" s="81"/>
      <c r="N55" s="81"/>
      <c r="O55" s="81"/>
      <c r="P55" s="81"/>
      <c r="Q55" s="81"/>
      <c r="R55" s="81"/>
      <c r="S55" s="81"/>
      <c r="T55" s="81"/>
      <c r="U55" s="81"/>
      <c r="V55" s="81"/>
      <c r="W55" s="81"/>
      <c r="X55" s="82"/>
      <c r="Y55" s="82"/>
      <c r="Z55" s="82"/>
      <c r="AA55" s="82"/>
      <c r="AB55" s="82"/>
      <c r="AC55" s="82"/>
      <c r="AD55" s="82"/>
      <c r="AE55" s="82"/>
      <c r="AF55" s="82"/>
      <c r="AG55" s="82"/>
      <c r="AH55" s="82"/>
      <c r="AI55" s="82"/>
      <c r="AJ55" s="82"/>
      <c r="AK55" s="82"/>
      <c r="AL55" s="82"/>
      <c r="AM55" s="82"/>
      <c r="AN55" s="82"/>
      <c r="AO55" s="82"/>
    </row>
    <row r="56" customFormat="false" ht="3" hidden="false" customHeight="true" outlineLevel="0" collapsed="false">
      <c r="A56" s="29"/>
      <c r="B56" s="83"/>
      <c r="C56" s="83"/>
      <c r="D56" s="83"/>
      <c r="E56" s="83"/>
      <c r="F56" s="83"/>
      <c r="G56" s="83"/>
      <c r="H56" s="83"/>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5"/>
    </row>
    <row r="57" customFormat="false" ht="15" hidden="false" customHeight="true" outlineLevel="0" collapsed="false">
      <c r="A57" s="80" t="s">
        <v>192</v>
      </c>
      <c r="B57" s="80"/>
      <c r="C57" s="80"/>
      <c r="D57" s="80"/>
      <c r="E57" s="80"/>
      <c r="F57" s="80"/>
      <c r="G57" s="80"/>
      <c r="H57" s="80"/>
      <c r="I57" s="20" t="s">
        <v>193</v>
      </c>
      <c r="J57" s="81" t="s">
        <v>112</v>
      </c>
      <c r="K57" s="81"/>
      <c r="N57" s="20" t="s">
        <v>194</v>
      </c>
      <c r="O57" s="50"/>
      <c r="P57" s="50"/>
      <c r="Z57" s="20" t="s">
        <v>193</v>
      </c>
      <c r="AA57" s="81"/>
      <c r="AB57" s="81"/>
      <c r="AD57" s="52" t="s">
        <v>194</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195</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6" t="s">
        <v>196</v>
      </c>
      <c r="B60" s="86"/>
      <c r="C60" s="86"/>
      <c r="D60" s="86"/>
      <c r="E60" s="86"/>
      <c r="F60" s="86"/>
      <c r="G60" s="86"/>
      <c r="H60" s="86"/>
      <c r="I60" s="86"/>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row>
    <row r="61" customFormat="false" ht="2.25" hidden="false" customHeight="true" outlineLevel="0" collapsed="false">
      <c r="A61" s="38"/>
      <c r="AO61" s="40"/>
    </row>
    <row r="62" customFormat="false" ht="15" hidden="false" customHeight="true" outlineLevel="0" collapsed="false">
      <c r="A62" s="18" t="s">
        <v>197</v>
      </c>
      <c r="B62" s="18"/>
      <c r="C62" s="18"/>
      <c r="D62" s="18"/>
      <c r="E62" s="18"/>
      <c r="F62" s="18"/>
      <c r="G62" s="18"/>
      <c r="H62" s="50"/>
      <c r="I62" s="50"/>
      <c r="J62" s="50"/>
      <c r="K62" s="50"/>
      <c r="L62" s="50"/>
      <c r="M62" s="50"/>
      <c r="N62" s="50"/>
      <c r="O62" s="50"/>
      <c r="P62" s="50"/>
      <c r="Q62" s="50"/>
      <c r="R62" s="50"/>
      <c r="S62" s="50"/>
      <c r="T62" s="50"/>
      <c r="V62" s="52" t="s">
        <v>198</v>
      </c>
      <c r="W62" s="52"/>
      <c r="X62" s="52"/>
      <c r="Y62" s="52"/>
      <c r="Z62" s="52"/>
      <c r="AA62" s="52"/>
      <c r="AB62" s="50"/>
      <c r="AC62" s="50"/>
      <c r="AE62" s="52" t="s">
        <v>199</v>
      </c>
      <c r="AF62" s="52"/>
      <c r="AG62" s="52"/>
      <c r="AH62" s="52"/>
      <c r="AI62" s="52"/>
      <c r="AJ62" s="52"/>
      <c r="AK62" s="50"/>
      <c r="AL62" s="50"/>
      <c r="AM62" s="88"/>
      <c r="AN62" s="88"/>
      <c r="AO62" s="89"/>
    </row>
    <row r="63" customFormat="false" ht="2.25" hidden="false" customHeight="true" outlineLevel="0" collapsed="false">
      <c r="A63" s="38"/>
      <c r="AN63" s="39"/>
      <c r="AO63" s="90"/>
    </row>
    <row r="64" customFormat="false" ht="15" hidden="false" customHeight="true" outlineLevel="0" collapsed="false">
      <c r="A64" s="18" t="s">
        <v>200</v>
      </c>
      <c r="B64" s="18"/>
      <c r="C64" s="18"/>
      <c r="D64" s="18"/>
      <c r="E64" s="18"/>
      <c r="F64" s="18"/>
      <c r="G64" s="18"/>
      <c r="H64" s="50"/>
      <c r="I64" s="50"/>
      <c r="J64" s="50"/>
      <c r="K64" s="50"/>
      <c r="L64" s="50"/>
      <c r="M64" s="50"/>
      <c r="N64" s="50"/>
      <c r="O64" s="50"/>
      <c r="P64" s="50"/>
      <c r="Q64" s="50"/>
      <c r="R64" s="50"/>
      <c r="S64" s="50"/>
      <c r="T64" s="52" t="s">
        <v>201</v>
      </c>
      <c r="U64" s="52"/>
      <c r="V64" s="52"/>
      <c r="W64" s="52"/>
      <c r="X64" s="52"/>
      <c r="Y64" s="19"/>
      <c r="Z64" s="19"/>
      <c r="AA64" s="19"/>
      <c r="AB64" s="19"/>
      <c r="AC64" s="52" t="s">
        <v>202</v>
      </c>
      <c r="AD64" s="52"/>
      <c r="AE64" s="52"/>
      <c r="AF64" s="52"/>
      <c r="AG64" s="52"/>
      <c r="AH64" s="43"/>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c r="E66" s="50"/>
      <c r="F66" s="50"/>
      <c r="G66" s="50"/>
      <c r="H66" s="50"/>
      <c r="I66" s="52" t="s">
        <v>153</v>
      </c>
      <c r="J66" s="52"/>
      <c r="K66" s="52"/>
      <c r="L66" s="50"/>
      <c r="M66" s="50"/>
      <c r="N66" s="50"/>
      <c r="O66" s="50"/>
      <c r="P66" s="50"/>
      <c r="Q66" s="52" t="s">
        <v>155</v>
      </c>
      <c r="R66" s="52"/>
      <c r="S66" s="52"/>
      <c r="T66" s="50"/>
      <c r="U66" s="50"/>
      <c r="V66" s="50"/>
      <c r="W66" s="50"/>
      <c r="X66" s="50"/>
      <c r="Y66" s="52" t="s">
        <v>157</v>
      </c>
      <c r="Z66" s="52"/>
      <c r="AA66" s="52"/>
      <c r="AB66" s="52"/>
      <c r="AC66" s="52"/>
      <c r="AD66" s="44"/>
      <c r="AE66" s="44"/>
      <c r="AF66" s="44"/>
      <c r="AG66" s="44"/>
      <c r="AH66" s="44"/>
      <c r="AI66" s="44"/>
      <c r="AJ66" s="44"/>
      <c r="AK66" s="44"/>
      <c r="AL66" s="44"/>
      <c r="AM66" s="44"/>
      <c r="AN66" s="44"/>
      <c r="AO66" s="44"/>
    </row>
    <row r="67" customFormat="false" ht="2.25" hidden="false" customHeight="true" outlineLevel="0" collapsed="false">
      <c r="A67" s="38"/>
      <c r="AO67" s="40"/>
    </row>
    <row r="68" customFormat="false" ht="15" hidden="false" customHeight="true" outlineLevel="0" collapsed="false">
      <c r="A68" s="63" t="s">
        <v>203</v>
      </c>
      <c r="B68" s="63"/>
      <c r="C68" s="63"/>
      <c r="D68" s="63"/>
      <c r="E68" s="63"/>
      <c r="F68" s="91"/>
      <c r="G68" s="91"/>
      <c r="H68" s="91"/>
      <c r="I68" s="91"/>
      <c r="J68" s="91"/>
      <c r="K68" s="91"/>
      <c r="L68" s="91"/>
      <c r="M68" s="91"/>
      <c r="N68" s="92" t="s">
        <v>204</v>
      </c>
      <c r="O68" s="92"/>
      <c r="P68" s="92"/>
      <c r="Q68" s="92"/>
      <c r="R68" s="92"/>
      <c r="S68" s="91"/>
      <c r="T68" s="91"/>
      <c r="U68" s="91"/>
      <c r="V68" s="91"/>
      <c r="W68" s="91"/>
      <c r="X68" s="91"/>
      <c r="Y68" s="91"/>
      <c r="Z68" s="91"/>
      <c r="AA68" s="92" t="s">
        <v>163</v>
      </c>
      <c r="AB68" s="92"/>
      <c r="AC68" s="67"/>
      <c r="AD68" s="67"/>
      <c r="AE68" s="67"/>
      <c r="AF68" s="67"/>
      <c r="AG68" s="67"/>
      <c r="AH68" s="67"/>
      <c r="AI68" s="67"/>
      <c r="AJ68" s="67"/>
      <c r="AK68" s="67"/>
      <c r="AL68" s="67"/>
      <c r="AM68" s="67"/>
      <c r="AN68" s="67"/>
      <c r="AO68" s="67"/>
    </row>
    <row r="69" customFormat="false" ht="2.25" hidden="false" customHeight="true" outlineLevel="0" collapsed="false">
      <c r="A69" s="29"/>
      <c r="B69" s="83"/>
      <c r="C69" s="83"/>
      <c r="D69" s="83"/>
      <c r="E69" s="83"/>
      <c r="F69" s="10"/>
      <c r="G69" s="10"/>
      <c r="H69" s="10"/>
      <c r="I69" s="10"/>
      <c r="J69" s="10"/>
      <c r="K69" s="10"/>
      <c r="L69" s="10"/>
      <c r="M69" s="10"/>
      <c r="N69" s="26"/>
      <c r="O69" s="26"/>
      <c r="P69" s="26"/>
      <c r="Q69" s="26"/>
      <c r="R69" s="26"/>
      <c r="S69" s="10"/>
      <c r="T69" s="10"/>
      <c r="U69" s="10"/>
      <c r="V69" s="10"/>
      <c r="W69" s="10"/>
      <c r="X69" s="10"/>
      <c r="Y69" s="10"/>
      <c r="Z69" s="10"/>
      <c r="AA69" s="26"/>
      <c r="AB69" s="26"/>
      <c r="AC69" s="93"/>
      <c r="AD69" s="93"/>
      <c r="AE69" s="93"/>
      <c r="AF69" s="93"/>
      <c r="AG69" s="93"/>
      <c r="AH69" s="93"/>
      <c r="AI69" s="93"/>
      <c r="AJ69" s="93"/>
      <c r="AK69" s="93"/>
      <c r="AL69" s="93"/>
      <c r="AM69" s="93"/>
      <c r="AN69" s="93"/>
      <c r="AO69" s="94"/>
    </row>
    <row r="70" customFormat="false" ht="14.25" hidden="false" customHeight="true" outlineLevel="0" collapsed="false">
      <c r="A70" s="95" t="s">
        <v>205</v>
      </c>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row>
    <row r="71" customFormat="false" ht="14.25" hidden="false" customHeight="false" outlineLevel="0" collapsed="false">
      <c r="A71" s="96" t="s">
        <v>206</v>
      </c>
      <c r="B71" s="96"/>
      <c r="C71" s="96"/>
      <c r="D71" s="96"/>
      <c r="E71" s="96"/>
      <c r="F71" s="96"/>
      <c r="G71" s="96"/>
      <c r="H71" s="96"/>
      <c r="I71" s="96"/>
      <c r="J71" s="96"/>
      <c r="K71" s="96"/>
      <c r="L71" s="78" t="s">
        <v>207</v>
      </c>
      <c r="M71" s="78"/>
      <c r="N71" s="78"/>
      <c r="O71" s="78"/>
      <c r="P71" s="78"/>
      <c r="Q71" s="78"/>
      <c r="R71" s="78"/>
      <c r="S71" s="78"/>
      <c r="T71" s="78"/>
      <c r="U71" s="78"/>
      <c r="V71" s="78"/>
      <c r="W71" s="78"/>
      <c r="X71" s="78"/>
      <c r="Y71" s="78"/>
      <c r="Z71" s="78"/>
      <c r="AA71" s="78" t="s">
        <v>208</v>
      </c>
      <c r="AB71" s="78"/>
      <c r="AC71" s="78"/>
      <c r="AD71" s="78"/>
      <c r="AE71" s="78"/>
      <c r="AF71" s="78"/>
      <c r="AG71" s="79" t="s">
        <v>209</v>
      </c>
      <c r="AH71" s="79"/>
      <c r="AI71" s="79"/>
      <c r="AJ71" s="79"/>
      <c r="AK71" s="79"/>
      <c r="AL71" s="79"/>
      <c r="AM71" s="79"/>
      <c r="AN71" s="79"/>
      <c r="AO71" s="79"/>
    </row>
    <row r="72" customFormat="false" ht="14.25" hidden="false" customHeight="false" outlineLevel="0" collapsed="false">
      <c r="A72" s="97" t="s">
        <v>210</v>
      </c>
      <c r="B72" s="97"/>
      <c r="C72" s="97"/>
      <c r="D72" s="97"/>
      <c r="E72" s="97"/>
      <c r="F72" s="97"/>
      <c r="G72" s="97"/>
      <c r="H72" s="97"/>
      <c r="I72" s="97"/>
      <c r="J72" s="97"/>
      <c r="K72" s="97"/>
      <c r="L72" s="50" t="s">
        <v>74</v>
      </c>
      <c r="M72" s="50"/>
      <c r="N72" s="50"/>
      <c r="O72" s="50"/>
      <c r="P72" s="50"/>
      <c r="Q72" s="50"/>
      <c r="R72" s="50"/>
      <c r="S72" s="50"/>
      <c r="T72" s="50"/>
      <c r="U72" s="50"/>
      <c r="V72" s="50"/>
      <c r="W72" s="50"/>
      <c r="X72" s="50"/>
      <c r="Y72" s="50"/>
      <c r="Z72" s="50"/>
      <c r="AA72" s="62" t="n">
        <v>989834712</v>
      </c>
      <c r="AB72" s="62"/>
      <c r="AC72" s="62"/>
      <c r="AD72" s="62"/>
      <c r="AE72" s="62"/>
      <c r="AF72" s="62"/>
      <c r="AG72" s="44" t="s">
        <v>211</v>
      </c>
      <c r="AH72" s="44"/>
      <c r="AI72" s="44"/>
      <c r="AJ72" s="44"/>
      <c r="AK72" s="44"/>
      <c r="AL72" s="44"/>
      <c r="AM72" s="44"/>
      <c r="AN72" s="44"/>
      <c r="AO72" s="44"/>
    </row>
    <row r="73" customFormat="false" ht="14.25" hidden="false" customHeight="false" outlineLevel="0" collapsed="false">
      <c r="A73" s="97" t="s">
        <v>212</v>
      </c>
      <c r="B73" s="97"/>
      <c r="C73" s="97"/>
      <c r="D73" s="97"/>
      <c r="E73" s="97"/>
      <c r="F73" s="97"/>
      <c r="G73" s="97"/>
      <c r="H73" s="97"/>
      <c r="I73" s="97"/>
      <c r="J73" s="97"/>
      <c r="K73" s="97"/>
      <c r="L73" s="50" t="s">
        <v>74</v>
      </c>
      <c r="M73" s="50"/>
      <c r="N73" s="50"/>
      <c r="O73" s="50"/>
      <c r="P73" s="50"/>
      <c r="Q73" s="50"/>
      <c r="R73" s="50"/>
      <c r="S73" s="50"/>
      <c r="T73" s="50"/>
      <c r="U73" s="50"/>
      <c r="V73" s="50"/>
      <c r="W73" s="50"/>
      <c r="X73" s="50"/>
      <c r="Y73" s="50"/>
      <c r="Z73" s="50"/>
      <c r="AA73" s="62" t="n">
        <v>980016474</v>
      </c>
      <c r="AB73" s="62"/>
      <c r="AC73" s="62"/>
      <c r="AD73" s="62"/>
      <c r="AE73" s="62"/>
      <c r="AF73" s="62"/>
      <c r="AG73" s="44" t="s">
        <v>211</v>
      </c>
      <c r="AH73" s="44"/>
      <c r="AI73" s="44"/>
      <c r="AJ73" s="44"/>
      <c r="AK73" s="44"/>
      <c r="AL73" s="44"/>
      <c r="AM73" s="44"/>
      <c r="AN73" s="44"/>
      <c r="AO73" s="44"/>
    </row>
    <row r="74" customFormat="false" ht="14.25" hidden="false" customHeight="false" outlineLevel="0" collapsed="false">
      <c r="A74" s="98" t="s">
        <v>213</v>
      </c>
      <c r="B74" s="98"/>
      <c r="C74" s="98"/>
      <c r="D74" s="98"/>
      <c r="E74" s="98"/>
      <c r="F74" s="98"/>
      <c r="G74" s="98"/>
      <c r="H74" s="98"/>
      <c r="I74" s="98"/>
      <c r="J74" s="98"/>
      <c r="K74" s="98"/>
      <c r="L74" s="50" t="s">
        <v>74</v>
      </c>
      <c r="M74" s="50"/>
      <c r="N74" s="50"/>
      <c r="O74" s="50"/>
      <c r="P74" s="50"/>
      <c r="Q74" s="50"/>
      <c r="R74" s="50"/>
      <c r="S74" s="50"/>
      <c r="T74" s="50"/>
      <c r="U74" s="50"/>
      <c r="V74" s="50"/>
      <c r="W74" s="50"/>
      <c r="X74" s="50"/>
      <c r="Y74" s="50"/>
      <c r="Z74" s="50"/>
      <c r="AA74" s="66" t="n">
        <v>991958408</v>
      </c>
      <c r="AB74" s="66"/>
      <c r="AC74" s="66"/>
      <c r="AD74" s="66"/>
      <c r="AE74" s="66"/>
      <c r="AF74" s="66"/>
      <c r="AG74" s="67" t="s">
        <v>214</v>
      </c>
      <c r="AH74" s="67"/>
      <c r="AI74" s="67"/>
      <c r="AJ74" s="67"/>
      <c r="AK74" s="67"/>
      <c r="AL74" s="67"/>
      <c r="AM74" s="67"/>
      <c r="AN74" s="67"/>
      <c r="AO74" s="67"/>
    </row>
    <row r="75" customFormat="false" ht="2.25" hidden="false" customHeight="true" outlineLevel="0" collapsed="false">
      <c r="A75" s="38"/>
      <c r="AO75" s="40"/>
    </row>
    <row r="76" customFormat="false" ht="15" hidden="false" customHeight="true" outlineLevel="0" collapsed="false">
      <c r="A76" s="73" t="s">
        <v>215</v>
      </c>
      <c r="B76" s="73"/>
      <c r="C76" s="73"/>
      <c r="D76" s="73"/>
      <c r="E76" s="73"/>
      <c r="F76" s="73"/>
      <c r="G76" s="73"/>
      <c r="H76" s="73"/>
      <c r="I76" s="73"/>
      <c r="J76" s="73"/>
      <c r="K76" s="73"/>
      <c r="L76" s="73"/>
      <c r="M76" s="73"/>
      <c r="N76" s="73"/>
      <c r="O76" s="73"/>
      <c r="P76" s="73"/>
      <c r="Q76" s="73"/>
      <c r="R76" s="73"/>
      <c r="S76" s="73"/>
      <c r="T76" s="20"/>
      <c r="U76" s="73" t="s">
        <v>216</v>
      </c>
      <c r="V76" s="73"/>
      <c r="W76" s="73"/>
      <c r="X76" s="73"/>
      <c r="Y76" s="73"/>
      <c r="Z76" s="73"/>
      <c r="AA76" s="73"/>
      <c r="AB76" s="73"/>
      <c r="AC76" s="73"/>
      <c r="AD76" s="73"/>
      <c r="AE76" s="73"/>
      <c r="AF76" s="73"/>
      <c r="AG76" s="73"/>
      <c r="AH76" s="73"/>
      <c r="AI76" s="73"/>
      <c r="AJ76" s="73"/>
      <c r="AK76" s="73"/>
      <c r="AL76" s="73"/>
      <c r="AM76" s="73"/>
      <c r="AN76" s="73"/>
      <c r="AO76" s="73"/>
    </row>
    <row r="77" customFormat="false" ht="10.5" hidden="false" customHeight="true" outlineLevel="0" collapsed="false">
      <c r="A77" s="99"/>
      <c r="B77" s="100"/>
      <c r="C77" s="100"/>
      <c r="D77" s="100"/>
      <c r="E77" s="100"/>
      <c r="F77" s="100"/>
      <c r="G77" s="100"/>
      <c r="H77" s="100"/>
      <c r="I77" s="100"/>
      <c r="J77" s="100"/>
      <c r="K77" s="100"/>
      <c r="L77" s="100"/>
      <c r="M77" s="100"/>
      <c r="N77" s="100"/>
      <c r="O77" s="100"/>
      <c r="P77" s="100"/>
      <c r="Q77" s="100"/>
      <c r="R77" s="100"/>
      <c r="S77" s="101"/>
      <c r="U77" s="99"/>
      <c r="V77" s="100"/>
      <c r="W77" s="100"/>
      <c r="X77" s="100"/>
      <c r="Y77" s="100"/>
      <c r="Z77" s="100"/>
      <c r="AA77" s="100"/>
      <c r="AB77" s="100"/>
      <c r="AC77" s="100"/>
      <c r="AD77" s="100"/>
      <c r="AE77" s="100"/>
      <c r="AF77" s="100"/>
      <c r="AG77" s="100"/>
      <c r="AH77" s="100"/>
      <c r="AI77" s="100"/>
      <c r="AJ77" s="100"/>
      <c r="AK77" s="100"/>
      <c r="AL77" s="100"/>
      <c r="AM77" s="100"/>
      <c r="AN77" s="100"/>
      <c r="AO77" s="101"/>
    </row>
    <row r="78" customFormat="false" ht="10.5" hidden="false" customHeight="true" outlineLevel="0" collapsed="false">
      <c r="A78" s="102"/>
      <c r="B78" s="103"/>
      <c r="C78" s="103"/>
      <c r="D78" s="103"/>
      <c r="E78" s="103"/>
      <c r="F78" s="103"/>
      <c r="G78" s="103"/>
      <c r="H78" s="103"/>
      <c r="I78" s="103"/>
      <c r="J78" s="103"/>
      <c r="K78" s="103"/>
      <c r="L78" s="103"/>
      <c r="M78" s="103"/>
      <c r="N78" s="103"/>
      <c r="O78" s="103"/>
      <c r="P78" s="103"/>
      <c r="Q78" s="103"/>
      <c r="R78" s="103"/>
      <c r="S78" s="104"/>
      <c r="U78" s="102"/>
      <c r="V78" s="103"/>
      <c r="W78" s="103"/>
      <c r="X78" s="103"/>
      <c r="Y78" s="103"/>
      <c r="Z78" s="103"/>
      <c r="AA78" s="103"/>
      <c r="AB78" s="103"/>
      <c r="AC78" s="103"/>
      <c r="AD78" s="103"/>
      <c r="AE78" s="103"/>
      <c r="AF78" s="103"/>
      <c r="AG78" s="103"/>
      <c r="AH78" s="103"/>
      <c r="AI78" s="103"/>
      <c r="AJ78" s="103"/>
      <c r="AK78" s="103"/>
      <c r="AL78" s="103"/>
      <c r="AM78" s="103"/>
      <c r="AN78" s="103"/>
      <c r="AO78" s="104"/>
    </row>
    <row r="79" customFormat="false" ht="10.5" hidden="false" customHeight="true" outlineLevel="0" collapsed="false">
      <c r="A79" s="102"/>
      <c r="B79" s="103" t="s">
        <v>217</v>
      </c>
      <c r="C79" s="103"/>
      <c r="D79" s="103"/>
      <c r="E79" s="103"/>
      <c r="F79" s="103"/>
      <c r="G79" s="103"/>
      <c r="H79" s="103"/>
      <c r="I79" s="103"/>
      <c r="J79" s="103"/>
      <c r="K79" s="103"/>
      <c r="L79" s="103"/>
      <c r="M79" s="103"/>
      <c r="N79" s="103"/>
      <c r="O79" s="103"/>
      <c r="P79" s="103"/>
      <c r="Q79" s="103"/>
      <c r="R79" s="103"/>
      <c r="S79" s="104"/>
      <c r="U79" s="102"/>
      <c r="V79" s="103"/>
      <c r="W79" s="103"/>
      <c r="X79" s="103"/>
      <c r="Y79" s="103"/>
      <c r="Z79" s="103"/>
      <c r="AA79" s="103"/>
      <c r="AB79" s="103"/>
      <c r="AC79" s="103"/>
      <c r="AD79" s="103"/>
      <c r="AE79" s="103"/>
      <c r="AF79" s="103"/>
      <c r="AG79" s="103"/>
      <c r="AH79" s="103"/>
      <c r="AI79" s="103"/>
      <c r="AJ79" s="103"/>
      <c r="AK79" s="103"/>
      <c r="AL79" s="103"/>
      <c r="AM79" s="103"/>
      <c r="AN79" s="103"/>
      <c r="AO79" s="104"/>
    </row>
    <row r="80" customFormat="false" ht="10.5" hidden="false" customHeight="true" outlineLevel="0" collapsed="false">
      <c r="A80" s="102"/>
      <c r="B80" s="103"/>
      <c r="C80" s="103"/>
      <c r="D80" s="103"/>
      <c r="E80" s="103"/>
      <c r="F80" s="103"/>
      <c r="G80" s="103"/>
      <c r="H80" s="103"/>
      <c r="I80" s="103"/>
      <c r="J80" s="103"/>
      <c r="K80" s="103"/>
      <c r="L80" s="103"/>
      <c r="M80" s="103"/>
      <c r="N80" s="103"/>
      <c r="O80" s="103"/>
      <c r="P80" s="103"/>
      <c r="Q80" s="103"/>
      <c r="R80" s="103"/>
      <c r="S80" s="104"/>
      <c r="U80" s="102"/>
      <c r="V80" s="103"/>
      <c r="W80" s="103"/>
      <c r="X80" s="103"/>
      <c r="Y80" s="103"/>
      <c r="Z80" s="103"/>
      <c r="AA80" s="103"/>
      <c r="AB80" s="103"/>
      <c r="AC80" s="103"/>
      <c r="AD80" s="103"/>
      <c r="AE80" s="103"/>
      <c r="AF80" s="103"/>
      <c r="AG80" s="103"/>
      <c r="AH80" s="103"/>
      <c r="AI80" s="103"/>
      <c r="AJ80" s="103"/>
      <c r="AK80" s="103"/>
      <c r="AL80" s="103"/>
      <c r="AM80" s="103"/>
      <c r="AN80" s="103"/>
      <c r="AO80" s="104"/>
    </row>
    <row r="81" customFormat="false" ht="10.5" hidden="false" customHeight="true" outlineLevel="0" collapsed="false">
      <c r="A81" s="102"/>
      <c r="B81" s="103"/>
      <c r="C81" s="103"/>
      <c r="D81" s="103"/>
      <c r="E81" s="103"/>
      <c r="F81" s="103"/>
      <c r="G81" s="103"/>
      <c r="H81" s="103"/>
      <c r="I81" s="103"/>
      <c r="J81" s="103"/>
      <c r="K81" s="103"/>
      <c r="L81" s="103"/>
      <c r="M81" s="103"/>
      <c r="N81" s="103"/>
      <c r="O81" s="103"/>
      <c r="P81" s="103"/>
      <c r="Q81" s="103"/>
      <c r="R81" s="103"/>
      <c r="S81" s="104"/>
      <c r="U81" s="102"/>
      <c r="V81" s="103"/>
      <c r="W81" s="103"/>
      <c r="X81" s="103"/>
      <c r="Y81" s="103"/>
      <c r="Z81" s="103"/>
      <c r="AA81" s="103"/>
      <c r="AB81" s="103"/>
      <c r="AC81" s="103"/>
      <c r="AD81" s="103"/>
      <c r="AE81" s="103"/>
      <c r="AF81" s="103"/>
      <c r="AG81" s="103"/>
      <c r="AH81" s="103"/>
      <c r="AI81" s="103"/>
      <c r="AJ81" s="103"/>
      <c r="AK81" s="103"/>
      <c r="AL81" s="103"/>
      <c r="AM81" s="103"/>
      <c r="AN81" s="103"/>
      <c r="AO81" s="104"/>
    </row>
    <row r="82" customFormat="false" ht="10.5" hidden="false" customHeight="true" outlineLevel="0" collapsed="false">
      <c r="A82" s="102"/>
      <c r="B82" s="103"/>
      <c r="C82" s="103"/>
      <c r="D82" s="103"/>
      <c r="E82" s="103"/>
      <c r="F82" s="103"/>
      <c r="G82" s="103"/>
      <c r="H82" s="103"/>
      <c r="I82" s="103"/>
      <c r="J82" s="103"/>
      <c r="K82" s="103"/>
      <c r="L82" s="103"/>
      <c r="M82" s="103"/>
      <c r="N82" s="103"/>
      <c r="O82" s="103"/>
      <c r="P82" s="103"/>
      <c r="Q82" s="103"/>
      <c r="R82" s="103"/>
      <c r="S82" s="104"/>
      <c r="U82" s="102"/>
      <c r="V82" s="103"/>
      <c r="W82" s="103"/>
      <c r="X82" s="103"/>
      <c r="Y82" s="103"/>
      <c r="Z82" s="103"/>
      <c r="AA82" s="103"/>
      <c r="AB82" s="103"/>
      <c r="AC82" s="103"/>
      <c r="AD82" s="103"/>
      <c r="AE82" s="103"/>
      <c r="AF82" s="103"/>
      <c r="AG82" s="103"/>
      <c r="AH82" s="103"/>
      <c r="AI82" s="103"/>
      <c r="AJ82" s="103"/>
      <c r="AK82" s="103"/>
      <c r="AL82" s="103"/>
      <c r="AM82" s="103"/>
      <c r="AN82" s="103"/>
      <c r="AO82" s="104"/>
    </row>
    <row r="83" customFormat="false" ht="10.5" hidden="false" customHeight="true" outlineLevel="0" collapsed="false">
      <c r="A83" s="102"/>
      <c r="B83" s="103"/>
      <c r="C83" s="103"/>
      <c r="D83" s="103"/>
      <c r="E83" s="103"/>
      <c r="F83" s="103"/>
      <c r="G83" s="103"/>
      <c r="H83" s="103"/>
      <c r="I83" s="103"/>
      <c r="J83" s="103"/>
      <c r="K83" s="103"/>
      <c r="L83" s="103"/>
      <c r="M83" s="103"/>
      <c r="N83" s="103"/>
      <c r="O83" s="103"/>
      <c r="P83" s="103"/>
      <c r="Q83" s="103"/>
      <c r="R83" s="103"/>
      <c r="S83" s="104"/>
      <c r="U83" s="102"/>
      <c r="V83" s="103"/>
      <c r="W83" s="103"/>
      <c r="X83" s="103"/>
      <c r="Y83" s="103"/>
      <c r="Z83" s="103"/>
      <c r="AA83" s="103"/>
      <c r="AB83" s="103"/>
      <c r="AC83" s="103"/>
      <c r="AD83" s="103"/>
      <c r="AE83" s="103"/>
      <c r="AF83" s="103"/>
      <c r="AG83" s="103"/>
      <c r="AH83" s="103"/>
      <c r="AI83" s="103"/>
      <c r="AJ83" s="103"/>
      <c r="AK83" s="103"/>
      <c r="AL83" s="103"/>
      <c r="AM83" s="103"/>
      <c r="AN83" s="103"/>
      <c r="AO83" s="104"/>
    </row>
    <row r="84" customFormat="false" ht="10.5" hidden="false" customHeight="true" outlineLevel="0" collapsed="false">
      <c r="A84" s="102"/>
      <c r="B84" s="103"/>
      <c r="C84" s="103"/>
      <c r="D84" s="103"/>
      <c r="E84" s="103"/>
      <c r="F84" s="103"/>
      <c r="G84" s="103"/>
      <c r="H84" s="103"/>
      <c r="I84" s="103"/>
      <c r="J84" s="103"/>
      <c r="K84" s="103"/>
      <c r="L84" s="103"/>
      <c r="M84" s="103"/>
      <c r="N84" s="103"/>
      <c r="O84" s="103"/>
      <c r="P84" s="103"/>
      <c r="Q84" s="103"/>
      <c r="R84" s="103"/>
      <c r="S84" s="104"/>
      <c r="U84" s="102"/>
      <c r="V84" s="103"/>
      <c r="W84" s="103"/>
      <c r="X84" s="103"/>
      <c r="Y84" s="103"/>
      <c r="Z84" s="103"/>
      <c r="AA84" s="103"/>
      <c r="AB84" s="103"/>
      <c r="AC84" s="103"/>
      <c r="AD84" s="103"/>
      <c r="AE84" s="103"/>
      <c r="AF84" s="103"/>
      <c r="AG84" s="103"/>
      <c r="AH84" s="103"/>
      <c r="AI84" s="103"/>
      <c r="AJ84" s="103"/>
      <c r="AK84" s="103"/>
      <c r="AL84" s="103"/>
      <c r="AM84" s="103"/>
      <c r="AN84" s="103"/>
      <c r="AO84" s="104"/>
    </row>
    <row r="85" customFormat="false" ht="10.5" hidden="false" customHeight="true" outlineLevel="0" collapsed="false">
      <c r="A85" s="102"/>
      <c r="B85" s="103"/>
      <c r="C85" s="103"/>
      <c r="D85" s="103"/>
      <c r="E85" s="103"/>
      <c r="F85" s="103"/>
      <c r="G85" s="103"/>
      <c r="H85" s="103"/>
      <c r="I85" s="103"/>
      <c r="J85" s="103"/>
      <c r="K85" s="103"/>
      <c r="L85" s="103"/>
      <c r="M85" s="103"/>
      <c r="N85" s="103"/>
      <c r="O85" s="103"/>
      <c r="P85" s="103"/>
      <c r="Q85" s="103"/>
      <c r="R85" s="103"/>
      <c r="S85" s="105"/>
      <c r="U85" s="102"/>
      <c r="V85" s="103"/>
      <c r="W85" s="103"/>
      <c r="X85" s="103"/>
      <c r="Y85" s="103"/>
      <c r="Z85" s="103"/>
      <c r="AA85" s="103"/>
      <c r="AB85" s="103"/>
      <c r="AC85" s="103"/>
      <c r="AD85" s="103"/>
      <c r="AE85" s="103"/>
      <c r="AF85" s="103"/>
      <c r="AG85" s="103"/>
      <c r="AH85" s="103"/>
      <c r="AI85" s="103"/>
      <c r="AJ85" s="103"/>
      <c r="AK85" s="103"/>
      <c r="AL85" s="103"/>
      <c r="AM85" s="103"/>
      <c r="AN85" s="103"/>
      <c r="AO85" s="104"/>
    </row>
    <row r="86" customFormat="false" ht="10.5" hidden="false" customHeight="true" outlineLevel="0" collapsed="false">
      <c r="A86" s="106"/>
      <c r="B86" s="107"/>
      <c r="C86" s="107"/>
      <c r="D86" s="107"/>
      <c r="E86" s="107"/>
      <c r="F86" s="107"/>
      <c r="G86" s="107"/>
      <c r="H86" s="107"/>
      <c r="I86" s="107"/>
      <c r="J86" s="107"/>
      <c r="K86" s="107"/>
      <c r="L86" s="107"/>
      <c r="M86" s="107"/>
      <c r="N86" s="107"/>
      <c r="O86" s="107"/>
      <c r="P86" s="107"/>
      <c r="Q86" s="107"/>
      <c r="R86" s="107"/>
      <c r="S86" s="108"/>
      <c r="U86" s="106"/>
      <c r="V86" s="107"/>
      <c r="W86" s="107"/>
      <c r="X86" s="107"/>
      <c r="Y86" s="107"/>
      <c r="Z86" s="107"/>
      <c r="AA86" s="107"/>
      <c r="AB86" s="107"/>
      <c r="AC86" s="107"/>
      <c r="AD86" s="107"/>
      <c r="AE86" s="107"/>
      <c r="AF86" s="107"/>
      <c r="AG86" s="107"/>
      <c r="AH86" s="107"/>
      <c r="AI86" s="107"/>
      <c r="AJ86" s="107"/>
      <c r="AK86" s="107"/>
      <c r="AL86" s="107"/>
      <c r="AM86" s="107"/>
      <c r="AN86" s="107"/>
      <c r="AO86" s="109"/>
    </row>
    <row r="87" customFormat="false" ht="18" hidden="false" customHeight="true" outlineLevel="0" collapsed="false">
      <c r="A87" s="110" t="s">
        <v>218</v>
      </c>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row>
    <row r="88" customFormat="false" ht="18" hidden="false" customHeight="true" outlineLevel="0" collapsed="false">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row>
    <row r="89" customFormat="false" ht="47.25" hidden="false" customHeight="true" outlineLevel="0" collapsed="false">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row>
    <row r="90" customFormat="false" ht="10.5" hidden="false" customHeight="true" outlineLevel="0" collapsed="false">
      <c r="A90" s="74"/>
      <c r="B90" s="75"/>
      <c r="C90" s="75"/>
      <c r="D90" s="75"/>
      <c r="E90" s="75"/>
      <c r="F90" s="75"/>
      <c r="G90" s="75"/>
      <c r="H90" s="75"/>
      <c r="I90" s="75"/>
      <c r="J90" s="75"/>
      <c r="K90" s="75"/>
      <c r="L90" s="75"/>
      <c r="M90" s="75"/>
      <c r="N90" s="75"/>
      <c r="O90" s="75"/>
      <c r="P90" s="75"/>
      <c r="Q90" s="75"/>
      <c r="R90" s="75"/>
      <c r="S90" s="75"/>
      <c r="T90" s="75"/>
      <c r="U90" s="75"/>
      <c r="V90" s="75"/>
      <c r="W90" s="75"/>
      <c r="X90" s="76"/>
      <c r="Y90" s="111" t="s">
        <v>219</v>
      </c>
      <c r="Z90" s="111"/>
      <c r="AA90" s="111"/>
      <c r="AB90" s="111"/>
      <c r="AC90" s="111"/>
      <c r="AD90" s="111"/>
      <c r="AE90" s="111"/>
      <c r="AF90" s="111"/>
      <c r="AG90" s="111"/>
      <c r="AH90" s="111"/>
      <c r="AI90" s="111"/>
      <c r="AJ90" s="111"/>
      <c r="AK90" s="111"/>
      <c r="AL90" s="111"/>
      <c r="AM90" s="111"/>
      <c r="AN90" s="111"/>
      <c r="AO90" s="111"/>
    </row>
    <row r="91" customFormat="false" ht="10.5" hidden="false" customHeight="true" outlineLevel="0" collapsed="false">
      <c r="A91" s="38"/>
      <c r="X91" s="40"/>
      <c r="Y91" s="112"/>
      <c r="Z91" s="113"/>
      <c r="AA91" s="113"/>
      <c r="AB91" s="113"/>
      <c r="AC91" s="113"/>
      <c r="AD91" s="113"/>
      <c r="AE91" s="113"/>
      <c r="AF91" s="113"/>
      <c r="AG91" s="113"/>
      <c r="AH91" s="113"/>
      <c r="AI91" s="113"/>
      <c r="AJ91" s="113"/>
      <c r="AK91" s="113"/>
      <c r="AL91" s="113"/>
      <c r="AM91" s="113"/>
      <c r="AN91" s="113"/>
      <c r="AO91" s="114"/>
    </row>
    <row r="92" customFormat="false" ht="10.5" hidden="false" customHeight="true" outlineLevel="0" collapsed="false">
      <c r="A92" s="38"/>
      <c r="X92" s="40"/>
      <c r="Y92" s="115" t="s">
        <v>220</v>
      </c>
      <c r="Z92" s="115"/>
      <c r="AA92" s="115"/>
      <c r="AB92" s="116"/>
      <c r="AD92" s="117" t="s">
        <v>221</v>
      </c>
      <c r="AE92" s="117"/>
      <c r="AF92" s="116"/>
      <c r="AH92" s="117" t="s">
        <v>222</v>
      </c>
      <c r="AI92" s="117"/>
      <c r="AJ92" s="117"/>
      <c r="AK92" s="117"/>
      <c r="AL92" s="117"/>
      <c r="AM92" s="118"/>
      <c r="AN92" s="119"/>
      <c r="AO92" s="120"/>
    </row>
    <row r="93" customFormat="false" ht="12.75" hidden="false" customHeight="true" outlineLevel="0" collapsed="false">
      <c r="A93" s="38"/>
      <c r="X93" s="40"/>
      <c r="AE93" s="121"/>
      <c r="AF93" s="121"/>
      <c r="AG93" s="121"/>
      <c r="AH93" s="121"/>
      <c r="AI93" s="121"/>
      <c r="AJ93" s="121"/>
      <c r="AK93" s="121"/>
      <c r="AL93" s="121"/>
      <c r="AM93" s="121"/>
      <c r="AN93" s="121"/>
      <c r="AO93" s="40"/>
    </row>
    <row r="94" customFormat="false" ht="14.25" hidden="false" customHeight="false" outlineLevel="0" collapsed="false">
      <c r="A94" s="38"/>
      <c r="B94" s="122" t="s">
        <v>223</v>
      </c>
      <c r="C94" s="122"/>
      <c r="D94" s="122"/>
      <c r="E94" s="122"/>
      <c r="F94" s="122"/>
      <c r="G94" s="122"/>
      <c r="H94" s="122"/>
      <c r="I94" s="122"/>
      <c r="J94" s="122"/>
      <c r="K94" s="20"/>
      <c r="L94" s="20"/>
      <c r="M94" s="20"/>
      <c r="N94" s="122" t="s">
        <v>224</v>
      </c>
      <c r="O94" s="122"/>
      <c r="P94" s="122"/>
      <c r="Q94" s="122"/>
      <c r="R94" s="122"/>
      <c r="S94" s="122"/>
      <c r="T94" s="122"/>
      <c r="U94" s="122"/>
      <c r="V94" s="122"/>
      <c r="W94" s="20"/>
      <c r="X94" s="123"/>
      <c r="Y94" s="33" t="s">
        <v>225</v>
      </c>
      <c r="Z94" s="33"/>
      <c r="AA94" s="33"/>
      <c r="AB94" s="33"/>
      <c r="AC94" s="39"/>
      <c r="AD94" s="39"/>
      <c r="AE94" s="39"/>
      <c r="AF94" s="39"/>
      <c r="AG94" s="39"/>
      <c r="AH94" s="39"/>
      <c r="AI94" s="39"/>
      <c r="AJ94" s="39"/>
      <c r="AK94" s="39"/>
      <c r="AL94" s="39"/>
      <c r="AM94" s="39"/>
      <c r="AN94" s="39"/>
      <c r="AO94" s="90"/>
    </row>
    <row r="95" customFormat="false" ht="10.5" hidden="false" customHeight="true" outlineLevel="0" collapsed="false">
      <c r="A95" s="124"/>
      <c r="B95" s="125"/>
      <c r="C95" s="125"/>
      <c r="D95" s="125"/>
      <c r="E95" s="125"/>
      <c r="F95" s="125"/>
      <c r="G95" s="125"/>
      <c r="H95" s="125"/>
      <c r="I95" s="125"/>
      <c r="J95" s="125"/>
      <c r="K95" s="46"/>
      <c r="L95" s="46"/>
      <c r="M95" s="46"/>
      <c r="N95" s="125"/>
      <c r="O95" s="125"/>
      <c r="P95" s="125"/>
      <c r="Q95" s="125"/>
      <c r="R95" s="125"/>
      <c r="S95" s="125"/>
      <c r="T95" s="125"/>
      <c r="U95" s="125"/>
      <c r="V95" s="125"/>
      <c r="W95" s="125"/>
      <c r="X95" s="47"/>
      <c r="Y95" s="126"/>
      <c r="Z95" s="127"/>
      <c r="AA95" s="127"/>
      <c r="AB95" s="127"/>
      <c r="AC95" s="128" t="str">
        <f aca="false">+D10</f>
        <v>JARAMILLO JIMENEZ CARLOS ISRAEL</v>
      </c>
      <c r="AD95" s="128"/>
      <c r="AE95" s="128"/>
      <c r="AF95" s="128"/>
      <c r="AG95" s="128"/>
      <c r="AH95" s="128"/>
      <c r="AI95" s="128"/>
      <c r="AJ95" s="128"/>
      <c r="AK95" s="128"/>
      <c r="AL95" s="128"/>
      <c r="AM95" s="128"/>
      <c r="AN95" s="128"/>
      <c r="AO95" s="128"/>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21"/>
      <c r="AF96" s="121"/>
      <c r="AG96" s="121"/>
      <c r="AH96" s="121"/>
      <c r="AI96" s="121"/>
      <c r="AJ96" s="121"/>
      <c r="AK96" s="121"/>
      <c r="AL96" s="121"/>
      <c r="AM96" s="121"/>
      <c r="AN96" s="121"/>
    </row>
    <row r="97" customFormat="false" ht="27" hidden="false" customHeight="true" outlineLevel="0" collapsed="false">
      <c r="A97" s="73" t="s">
        <v>226</v>
      </c>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row>
    <row r="98" customFormat="false" ht="10.5" hidden="false" customHeight="true" outlineLevel="0" collapsed="false">
      <c r="A98" s="129" t="s">
        <v>227</v>
      </c>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row>
    <row r="99" customFormat="false" ht="10.5" hidden="false" customHeight="true" outlineLevel="0" collapsed="false">
      <c r="A99" s="130" t="s">
        <v>228</v>
      </c>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38"/>
    </row>
    <row r="100" customFormat="false" ht="10.5" hidden="false" customHeight="true" outlineLevel="0" collapsed="false">
      <c r="A100" s="131" t="s">
        <v>229</v>
      </c>
      <c r="B100" s="131"/>
      <c r="C100" s="131"/>
      <c r="D100" s="131"/>
      <c r="E100" s="131"/>
      <c r="F100" s="131"/>
      <c r="G100" s="131"/>
      <c r="H100" s="131"/>
      <c r="I100" s="131"/>
      <c r="J100" s="132" t="s">
        <v>230</v>
      </c>
      <c r="K100" s="132"/>
      <c r="L100" s="132"/>
      <c r="M100" s="132" t="s">
        <v>231</v>
      </c>
      <c r="N100" s="132"/>
      <c r="O100" s="132"/>
      <c r="P100" s="132" t="s">
        <v>232</v>
      </c>
      <c r="Q100" s="132"/>
      <c r="R100" s="132"/>
      <c r="S100" s="132" t="s">
        <v>233</v>
      </c>
      <c r="T100" s="132"/>
      <c r="U100" s="132"/>
      <c r="V100" s="132"/>
      <c r="W100" s="132" t="s">
        <v>234</v>
      </c>
      <c r="X100" s="132"/>
      <c r="Y100" s="132"/>
      <c r="Z100" s="132"/>
      <c r="AA100" s="132" t="s">
        <v>235</v>
      </c>
      <c r="AB100" s="132"/>
      <c r="AC100" s="132"/>
      <c r="AD100" s="132"/>
      <c r="AE100" s="132" t="s">
        <v>236</v>
      </c>
      <c r="AF100" s="132"/>
      <c r="AG100" s="132"/>
      <c r="AH100" s="133" t="s">
        <v>237</v>
      </c>
      <c r="AI100" s="133"/>
      <c r="AJ100" s="133"/>
      <c r="AK100" s="133"/>
      <c r="AL100" s="134" t="s">
        <v>238</v>
      </c>
      <c r="AM100" s="134"/>
      <c r="AN100" s="134"/>
      <c r="AO100" s="134"/>
    </row>
    <row r="101" customFormat="false" ht="10.5" hidden="false" customHeight="true" outlineLevel="0" collapsed="false">
      <c r="A101" s="96" t="n">
        <v>1</v>
      </c>
      <c r="B101" s="135"/>
      <c r="C101" s="135"/>
      <c r="D101" s="135"/>
      <c r="E101" s="135"/>
      <c r="F101" s="135"/>
      <c r="G101" s="135"/>
      <c r="H101" s="135"/>
      <c r="I101" s="135"/>
      <c r="J101" s="19"/>
      <c r="K101" s="19"/>
      <c r="L101" s="19"/>
      <c r="M101" s="19"/>
      <c r="N101" s="19"/>
      <c r="O101" s="19"/>
      <c r="P101" s="19"/>
      <c r="Q101" s="19"/>
      <c r="R101" s="19"/>
      <c r="S101" s="19"/>
      <c r="T101" s="19"/>
      <c r="U101" s="19"/>
      <c r="V101" s="19"/>
      <c r="W101" s="136" t="n">
        <f aca="false">J101*S101</f>
        <v>0</v>
      </c>
      <c r="X101" s="136"/>
      <c r="Y101" s="136"/>
      <c r="Z101" s="136"/>
      <c r="AA101" s="136" t="n">
        <f aca="false">J101*P101</f>
        <v>0</v>
      </c>
      <c r="AB101" s="136"/>
      <c r="AC101" s="136"/>
      <c r="AD101" s="136"/>
      <c r="AE101" s="136" t="n">
        <f aca="false">M101*P101</f>
        <v>0</v>
      </c>
      <c r="AF101" s="136"/>
      <c r="AG101" s="136"/>
      <c r="AH101" s="137" t="n">
        <f aca="false">W101-AA101</f>
        <v>0</v>
      </c>
      <c r="AI101" s="137"/>
      <c r="AJ101" s="137"/>
      <c r="AK101" s="137"/>
      <c r="AL101" s="138" t="str">
        <f aca="false">IFERROR(AH101/$AH$114,"$-")</f>
        <v>$-</v>
      </c>
      <c r="AM101" s="138"/>
      <c r="AN101" s="138"/>
      <c r="AO101" s="138"/>
    </row>
    <row r="102" customFormat="false" ht="10.5" hidden="false" customHeight="true" outlineLevel="0" collapsed="false">
      <c r="A102" s="96" t="n">
        <v>2</v>
      </c>
      <c r="B102" s="135"/>
      <c r="C102" s="135"/>
      <c r="D102" s="135"/>
      <c r="E102" s="135"/>
      <c r="F102" s="135"/>
      <c r="G102" s="135"/>
      <c r="H102" s="135"/>
      <c r="I102" s="135"/>
      <c r="J102" s="19"/>
      <c r="K102" s="19"/>
      <c r="L102" s="19"/>
      <c r="M102" s="19"/>
      <c r="N102" s="19"/>
      <c r="O102" s="19"/>
      <c r="P102" s="19"/>
      <c r="Q102" s="19"/>
      <c r="R102" s="19"/>
      <c r="S102" s="19"/>
      <c r="T102" s="19"/>
      <c r="U102" s="19"/>
      <c r="V102" s="19"/>
      <c r="W102" s="136" t="n">
        <f aca="false">J102*S102</f>
        <v>0</v>
      </c>
      <c r="X102" s="136"/>
      <c r="Y102" s="136"/>
      <c r="Z102" s="136"/>
      <c r="AA102" s="136" t="n">
        <f aca="false">J102*P102</f>
        <v>0</v>
      </c>
      <c r="AB102" s="136"/>
      <c r="AC102" s="136"/>
      <c r="AD102" s="136"/>
      <c r="AE102" s="136" t="n">
        <f aca="false">M102*P102</f>
        <v>0</v>
      </c>
      <c r="AF102" s="136"/>
      <c r="AG102" s="136"/>
      <c r="AH102" s="137" t="n">
        <f aca="false">W102-AA102</f>
        <v>0</v>
      </c>
      <c r="AI102" s="137"/>
      <c r="AJ102" s="137"/>
      <c r="AK102" s="137"/>
      <c r="AL102" s="138" t="str">
        <f aca="false">IFERROR(AH102/$AH$114,"$-")</f>
        <v>$-</v>
      </c>
      <c r="AM102" s="138"/>
      <c r="AN102" s="138"/>
      <c r="AO102" s="138"/>
    </row>
    <row r="103" customFormat="false" ht="10.5" hidden="false" customHeight="true" outlineLevel="0" collapsed="false">
      <c r="A103" s="96" t="n">
        <v>3</v>
      </c>
      <c r="B103" s="135"/>
      <c r="C103" s="135"/>
      <c r="D103" s="135"/>
      <c r="E103" s="135"/>
      <c r="F103" s="135"/>
      <c r="G103" s="135"/>
      <c r="H103" s="135"/>
      <c r="I103" s="135"/>
      <c r="J103" s="19"/>
      <c r="K103" s="19"/>
      <c r="L103" s="19"/>
      <c r="M103" s="19"/>
      <c r="N103" s="19"/>
      <c r="O103" s="19"/>
      <c r="P103" s="19"/>
      <c r="Q103" s="19"/>
      <c r="R103" s="19"/>
      <c r="S103" s="19"/>
      <c r="T103" s="19"/>
      <c r="U103" s="19"/>
      <c r="V103" s="19"/>
      <c r="W103" s="136" t="n">
        <f aca="false">J103*S103</f>
        <v>0</v>
      </c>
      <c r="X103" s="136"/>
      <c r="Y103" s="136"/>
      <c r="Z103" s="136"/>
      <c r="AA103" s="136" t="n">
        <f aca="false">J103*P103</f>
        <v>0</v>
      </c>
      <c r="AB103" s="136"/>
      <c r="AC103" s="136"/>
      <c r="AD103" s="136"/>
      <c r="AE103" s="136" t="n">
        <f aca="false">M103*P103</f>
        <v>0</v>
      </c>
      <c r="AF103" s="136"/>
      <c r="AG103" s="136"/>
      <c r="AH103" s="137" t="n">
        <f aca="false">W103-AA103</f>
        <v>0</v>
      </c>
      <c r="AI103" s="137"/>
      <c r="AJ103" s="137"/>
      <c r="AK103" s="137"/>
      <c r="AL103" s="138" t="str">
        <f aca="false">IFERROR(AH103/$AH$114,"$-")</f>
        <v>$-</v>
      </c>
      <c r="AM103" s="138"/>
      <c r="AN103" s="138"/>
      <c r="AO103" s="138"/>
    </row>
    <row r="104" customFormat="false" ht="10.5" hidden="false" customHeight="true" outlineLevel="0" collapsed="false">
      <c r="A104" s="96" t="n">
        <v>4</v>
      </c>
      <c r="B104" s="135"/>
      <c r="C104" s="135"/>
      <c r="D104" s="135"/>
      <c r="E104" s="135"/>
      <c r="F104" s="135"/>
      <c r="G104" s="135"/>
      <c r="H104" s="135"/>
      <c r="I104" s="135"/>
      <c r="J104" s="19"/>
      <c r="K104" s="19"/>
      <c r="L104" s="19"/>
      <c r="M104" s="19"/>
      <c r="N104" s="19"/>
      <c r="O104" s="19"/>
      <c r="P104" s="19"/>
      <c r="Q104" s="19"/>
      <c r="R104" s="19"/>
      <c r="S104" s="19"/>
      <c r="T104" s="19"/>
      <c r="U104" s="19"/>
      <c r="V104" s="19"/>
      <c r="W104" s="136" t="n">
        <f aca="false">J104*S104</f>
        <v>0</v>
      </c>
      <c r="X104" s="136"/>
      <c r="Y104" s="136"/>
      <c r="Z104" s="136"/>
      <c r="AA104" s="136" t="n">
        <f aca="false">J104*P104</f>
        <v>0</v>
      </c>
      <c r="AB104" s="136"/>
      <c r="AC104" s="136"/>
      <c r="AD104" s="136"/>
      <c r="AE104" s="136" t="n">
        <f aca="false">M104*P104</f>
        <v>0</v>
      </c>
      <c r="AF104" s="136"/>
      <c r="AG104" s="136"/>
      <c r="AH104" s="137" t="n">
        <f aca="false">W104-AA104</f>
        <v>0</v>
      </c>
      <c r="AI104" s="137"/>
      <c r="AJ104" s="137"/>
      <c r="AK104" s="137"/>
      <c r="AL104" s="138" t="str">
        <f aca="false">IFERROR(AH104/$AH$114,"$-")</f>
        <v>$-</v>
      </c>
      <c r="AM104" s="138"/>
      <c r="AN104" s="138"/>
      <c r="AO104" s="138"/>
    </row>
    <row r="105" customFormat="false" ht="10.5" hidden="false" customHeight="true" outlineLevel="0" collapsed="false">
      <c r="A105" s="96" t="n">
        <v>5</v>
      </c>
      <c r="B105" s="135"/>
      <c r="C105" s="135"/>
      <c r="D105" s="135"/>
      <c r="E105" s="135"/>
      <c r="F105" s="135"/>
      <c r="G105" s="135"/>
      <c r="H105" s="135"/>
      <c r="I105" s="135"/>
      <c r="J105" s="19"/>
      <c r="K105" s="19"/>
      <c r="L105" s="19"/>
      <c r="M105" s="19"/>
      <c r="N105" s="19"/>
      <c r="O105" s="19"/>
      <c r="P105" s="19"/>
      <c r="Q105" s="19"/>
      <c r="R105" s="19"/>
      <c r="S105" s="19"/>
      <c r="T105" s="19"/>
      <c r="U105" s="19"/>
      <c r="V105" s="19"/>
      <c r="W105" s="136" t="n">
        <f aca="false">J105*S105</f>
        <v>0</v>
      </c>
      <c r="X105" s="136"/>
      <c r="Y105" s="136"/>
      <c r="Z105" s="136"/>
      <c r="AA105" s="136" t="n">
        <f aca="false">J105*P105</f>
        <v>0</v>
      </c>
      <c r="AB105" s="136"/>
      <c r="AC105" s="136"/>
      <c r="AD105" s="136"/>
      <c r="AE105" s="136" t="n">
        <f aca="false">M105*P105</f>
        <v>0</v>
      </c>
      <c r="AF105" s="136"/>
      <c r="AG105" s="136"/>
      <c r="AH105" s="137" t="n">
        <f aca="false">W105-AA105</f>
        <v>0</v>
      </c>
      <c r="AI105" s="137"/>
      <c r="AJ105" s="137"/>
      <c r="AK105" s="137"/>
      <c r="AL105" s="138" t="str">
        <f aca="false">IFERROR(AH105/$AH$114,"$-")</f>
        <v>$-</v>
      </c>
      <c r="AM105" s="138"/>
      <c r="AN105" s="138"/>
      <c r="AO105" s="138"/>
    </row>
    <row r="106" customFormat="false" ht="10.5" hidden="false" customHeight="true" outlineLevel="0" collapsed="false">
      <c r="A106" s="96" t="n">
        <v>6</v>
      </c>
      <c r="B106" s="135"/>
      <c r="C106" s="135"/>
      <c r="D106" s="135"/>
      <c r="E106" s="135"/>
      <c r="F106" s="135"/>
      <c r="G106" s="135"/>
      <c r="H106" s="135"/>
      <c r="I106" s="135"/>
      <c r="J106" s="19"/>
      <c r="K106" s="19"/>
      <c r="L106" s="19"/>
      <c r="M106" s="19"/>
      <c r="N106" s="19"/>
      <c r="O106" s="19"/>
      <c r="P106" s="19"/>
      <c r="Q106" s="19"/>
      <c r="R106" s="19"/>
      <c r="S106" s="19"/>
      <c r="T106" s="19"/>
      <c r="U106" s="19"/>
      <c r="V106" s="19"/>
      <c r="W106" s="136" t="n">
        <f aca="false">J106*S106</f>
        <v>0</v>
      </c>
      <c r="X106" s="136"/>
      <c r="Y106" s="136"/>
      <c r="Z106" s="136"/>
      <c r="AA106" s="136" t="n">
        <f aca="false">J106*P106</f>
        <v>0</v>
      </c>
      <c r="AB106" s="136"/>
      <c r="AC106" s="136"/>
      <c r="AD106" s="136"/>
      <c r="AE106" s="136" t="n">
        <f aca="false">M106*P106</f>
        <v>0</v>
      </c>
      <c r="AF106" s="136"/>
      <c r="AG106" s="136"/>
      <c r="AH106" s="137" t="n">
        <f aca="false">W106-AA106</f>
        <v>0</v>
      </c>
      <c r="AI106" s="137"/>
      <c r="AJ106" s="137"/>
      <c r="AK106" s="137"/>
      <c r="AL106" s="138" t="str">
        <f aca="false">IFERROR(AH106/$AH$114,"$-")</f>
        <v>$-</v>
      </c>
      <c r="AM106" s="138"/>
      <c r="AN106" s="138"/>
      <c r="AO106" s="138"/>
    </row>
    <row r="107" customFormat="false" ht="10.5" hidden="false" customHeight="true" outlineLevel="0" collapsed="false">
      <c r="A107" s="96" t="n">
        <v>7</v>
      </c>
      <c r="B107" s="135"/>
      <c r="C107" s="135"/>
      <c r="D107" s="135"/>
      <c r="E107" s="135"/>
      <c r="F107" s="135"/>
      <c r="G107" s="135"/>
      <c r="H107" s="135"/>
      <c r="I107" s="135"/>
      <c r="J107" s="19"/>
      <c r="K107" s="19"/>
      <c r="L107" s="19"/>
      <c r="M107" s="19"/>
      <c r="N107" s="19"/>
      <c r="O107" s="19"/>
      <c r="P107" s="19"/>
      <c r="Q107" s="19"/>
      <c r="R107" s="19"/>
      <c r="S107" s="19"/>
      <c r="T107" s="19"/>
      <c r="U107" s="19"/>
      <c r="V107" s="19"/>
      <c r="W107" s="136" t="n">
        <f aca="false">J107*S107</f>
        <v>0</v>
      </c>
      <c r="X107" s="136"/>
      <c r="Y107" s="136"/>
      <c r="Z107" s="136"/>
      <c r="AA107" s="136" t="n">
        <f aca="false">J107*P107</f>
        <v>0</v>
      </c>
      <c r="AB107" s="136"/>
      <c r="AC107" s="136"/>
      <c r="AD107" s="136"/>
      <c r="AE107" s="136" t="n">
        <f aca="false">M107*P107</f>
        <v>0</v>
      </c>
      <c r="AF107" s="136"/>
      <c r="AG107" s="136"/>
      <c r="AH107" s="137" t="n">
        <f aca="false">W107-AA107</f>
        <v>0</v>
      </c>
      <c r="AI107" s="137"/>
      <c r="AJ107" s="137"/>
      <c r="AK107" s="137"/>
      <c r="AL107" s="138" t="str">
        <f aca="false">IFERROR(AH107/$AH$114,"$-")</f>
        <v>$-</v>
      </c>
      <c r="AM107" s="138"/>
      <c r="AN107" s="138"/>
      <c r="AO107" s="138"/>
    </row>
    <row r="108" customFormat="false" ht="10.5" hidden="false" customHeight="true" outlineLevel="0" collapsed="false">
      <c r="A108" s="96" t="n">
        <v>8</v>
      </c>
      <c r="B108" s="135"/>
      <c r="C108" s="135"/>
      <c r="D108" s="135"/>
      <c r="E108" s="135"/>
      <c r="F108" s="135"/>
      <c r="G108" s="135"/>
      <c r="H108" s="135"/>
      <c r="I108" s="135"/>
      <c r="J108" s="19"/>
      <c r="K108" s="19"/>
      <c r="L108" s="19"/>
      <c r="M108" s="19"/>
      <c r="N108" s="19"/>
      <c r="O108" s="19"/>
      <c r="P108" s="19"/>
      <c r="Q108" s="19"/>
      <c r="R108" s="19"/>
      <c r="S108" s="19"/>
      <c r="T108" s="19"/>
      <c r="U108" s="19"/>
      <c r="V108" s="19"/>
      <c r="W108" s="136" t="n">
        <f aca="false">J108*S108</f>
        <v>0</v>
      </c>
      <c r="X108" s="136"/>
      <c r="Y108" s="136"/>
      <c r="Z108" s="136"/>
      <c r="AA108" s="136" t="n">
        <f aca="false">J108*P108</f>
        <v>0</v>
      </c>
      <c r="AB108" s="136"/>
      <c r="AC108" s="136"/>
      <c r="AD108" s="136"/>
      <c r="AE108" s="136" t="n">
        <f aca="false">M108*P108</f>
        <v>0</v>
      </c>
      <c r="AF108" s="136"/>
      <c r="AG108" s="136"/>
      <c r="AH108" s="137" t="n">
        <f aca="false">W108-AA108</f>
        <v>0</v>
      </c>
      <c r="AI108" s="137"/>
      <c r="AJ108" s="137"/>
      <c r="AK108" s="137"/>
      <c r="AL108" s="138" t="str">
        <f aca="false">IFERROR(AH108/$AH$114,"$-")</f>
        <v>$-</v>
      </c>
      <c r="AM108" s="138"/>
      <c r="AN108" s="138"/>
      <c r="AO108" s="138"/>
    </row>
    <row r="109" customFormat="false" ht="10.5" hidden="false" customHeight="true" outlineLevel="0" collapsed="false">
      <c r="A109" s="96" t="n">
        <v>9</v>
      </c>
      <c r="B109" s="135"/>
      <c r="C109" s="135"/>
      <c r="D109" s="135"/>
      <c r="E109" s="135"/>
      <c r="F109" s="135"/>
      <c r="G109" s="135"/>
      <c r="H109" s="135"/>
      <c r="I109" s="135"/>
      <c r="J109" s="19"/>
      <c r="K109" s="19"/>
      <c r="L109" s="19"/>
      <c r="M109" s="19"/>
      <c r="N109" s="19"/>
      <c r="O109" s="19"/>
      <c r="P109" s="19"/>
      <c r="Q109" s="19"/>
      <c r="R109" s="19"/>
      <c r="S109" s="19"/>
      <c r="T109" s="19"/>
      <c r="U109" s="19"/>
      <c r="V109" s="19"/>
      <c r="W109" s="136" t="n">
        <f aca="false">J109*S109</f>
        <v>0</v>
      </c>
      <c r="X109" s="136"/>
      <c r="Y109" s="136"/>
      <c r="Z109" s="136"/>
      <c r="AA109" s="136" t="n">
        <f aca="false">J109*P109</f>
        <v>0</v>
      </c>
      <c r="AB109" s="136"/>
      <c r="AC109" s="136"/>
      <c r="AD109" s="136"/>
      <c r="AE109" s="136" t="n">
        <f aca="false">M109*P109</f>
        <v>0</v>
      </c>
      <c r="AF109" s="136"/>
      <c r="AG109" s="136"/>
      <c r="AH109" s="137" t="n">
        <f aca="false">W109-AA109</f>
        <v>0</v>
      </c>
      <c r="AI109" s="137"/>
      <c r="AJ109" s="137"/>
      <c r="AK109" s="137"/>
      <c r="AL109" s="138" t="str">
        <f aca="false">IFERROR(AH109/$AH$114,"$-")</f>
        <v>$-</v>
      </c>
      <c r="AM109" s="138"/>
      <c r="AN109" s="138"/>
      <c r="AO109" s="138"/>
    </row>
    <row r="110" customFormat="false" ht="10.5" hidden="false" customHeight="true" outlineLevel="0" collapsed="false">
      <c r="A110" s="96" t="n">
        <v>10</v>
      </c>
      <c r="B110" s="135"/>
      <c r="C110" s="135"/>
      <c r="D110" s="135"/>
      <c r="E110" s="135"/>
      <c r="F110" s="135"/>
      <c r="G110" s="135"/>
      <c r="H110" s="135"/>
      <c r="I110" s="135"/>
      <c r="J110" s="19"/>
      <c r="K110" s="19"/>
      <c r="L110" s="19"/>
      <c r="M110" s="19"/>
      <c r="N110" s="19"/>
      <c r="O110" s="19"/>
      <c r="P110" s="19"/>
      <c r="Q110" s="19"/>
      <c r="R110" s="19"/>
      <c r="S110" s="19"/>
      <c r="T110" s="19"/>
      <c r="U110" s="19"/>
      <c r="V110" s="19"/>
      <c r="W110" s="136" t="n">
        <f aca="false">J110*S110</f>
        <v>0</v>
      </c>
      <c r="X110" s="136"/>
      <c r="Y110" s="136"/>
      <c r="Z110" s="136"/>
      <c r="AA110" s="136" t="n">
        <f aca="false">J110*P110</f>
        <v>0</v>
      </c>
      <c r="AB110" s="136"/>
      <c r="AC110" s="136"/>
      <c r="AD110" s="136"/>
      <c r="AE110" s="136" t="n">
        <f aca="false">M110*P110</f>
        <v>0</v>
      </c>
      <c r="AF110" s="136"/>
      <c r="AG110" s="136"/>
      <c r="AH110" s="137" t="n">
        <f aca="false">W110-AA110</f>
        <v>0</v>
      </c>
      <c r="AI110" s="137"/>
      <c r="AJ110" s="137"/>
      <c r="AK110" s="137"/>
      <c r="AL110" s="138" t="str">
        <f aca="false">IFERROR(AH110/$AH$114,"$-")</f>
        <v>$-</v>
      </c>
      <c r="AM110" s="138"/>
      <c r="AN110" s="138"/>
      <c r="AO110" s="138"/>
    </row>
    <row r="111" customFormat="false" ht="10.5" hidden="false" customHeight="true" outlineLevel="0" collapsed="false">
      <c r="A111" s="96" t="n">
        <v>11</v>
      </c>
      <c r="B111" s="135"/>
      <c r="C111" s="135"/>
      <c r="D111" s="135"/>
      <c r="E111" s="135"/>
      <c r="F111" s="135"/>
      <c r="G111" s="135"/>
      <c r="H111" s="135"/>
      <c r="I111" s="135"/>
      <c r="J111" s="19"/>
      <c r="K111" s="19"/>
      <c r="L111" s="19"/>
      <c r="M111" s="19"/>
      <c r="N111" s="19"/>
      <c r="O111" s="19"/>
      <c r="P111" s="19"/>
      <c r="Q111" s="19"/>
      <c r="R111" s="19"/>
      <c r="S111" s="19"/>
      <c r="T111" s="19"/>
      <c r="U111" s="19"/>
      <c r="V111" s="19"/>
      <c r="W111" s="136" t="n">
        <f aca="false">J111*S111</f>
        <v>0</v>
      </c>
      <c r="X111" s="136"/>
      <c r="Y111" s="136"/>
      <c r="Z111" s="136"/>
      <c r="AA111" s="136" t="n">
        <f aca="false">J111*P111</f>
        <v>0</v>
      </c>
      <c r="AB111" s="136"/>
      <c r="AC111" s="136"/>
      <c r="AD111" s="136"/>
      <c r="AE111" s="136" t="n">
        <f aca="false">M111*P111</f>
        <v>0</v>
      </c>
      <c r="AF111" s="136"/>
      <c r="AG111" s="136"/>
      <c r="AH111" s="137" t="n">
        <f aca="false">W111-AA111</f>
        <v>0</v>
      </c>
      <c r="AI111" s="137"/>
      <c r="AJ111" s="137"/>
      <c r="AK111" s="137"/>
      <c r="AL111" s="138" t="str">
        <f aca="false">IFERROR(AH111/$AH$114,"$-")</f>
        <v>$-</v>
      </c>
      <c r="AM111" s="138"/>
      <c r="AN111" s="138"/>
      <c r="AO111" s="138"/>
    </row>
    <row r="112" customFormat="false" ht="10.5" hidden="false" customHeight="true" outlineLevel="0" collapsed="false">
      <c r="A112" s="96" t="n">
        <v>12</v>
      </c>
      <c r="B112" s="135"/>
      <c r="C112" s="135"/>
      <c r="D112" s="135"/>
      <c r="E112" s="135"/>
      <c r="F112" s="135"/>
      <c r="G112" s="135"/>
      <c r="H112" s="135"/>
      <c r="I112" s="135"/>
      <c r="J112" s="19"/>
      <c r="K112" s="19"/>
      <c r="L112" s="19"/>
      <c r="M112" s="19"/>
      <c r="N112" s="19"/>
      <c r="O112" s="19"/>
      <c r="P112" s="19"/>
      <c r="Q112" s="19"/>
      <c r="R112" s="19"/>
      <c r="S112" s="19"/>
      <c r="T112" s="19"/>
      <c r="U112" s="19"/>
      <c r="V112" s="19"/>
      <c r="W112" s="136" t="n">
        <f aca="false">J112*S112</f>
        <v>0</v>
      </c>
      <c r="X112" s="136"/>
      <c r="Y112" s="136"/>
      <c r="Z112" s="136"/>
      <c r="AA112" s="136" t="n">
        <f aca="false">J112*P112</f>
        <v>0</v>
      </c>
      <c r="AB112" s="136"/>
      <c r="AC112" s="136"/>
      <c r="AD112" s="136"/>
      <c r="AE112" s="136" t="n">
        <f aca="false">M112*P112</f>
        <v>0</v>
      </c>
      <c r="AF112" s="136"/>
      <c r="AG112" s="136"/>
      <c r="AH112" s="137" t="n">
        <f aca="false">W112-AA112</f>
        <v>0</v>
      </c>
      <c r="AI112" s="137"/>
      <c r="AJ112" s="137"/>
      <c r="AK112" s="137"/>
      <c r="AL112" s="138" t="str">
        <f aca="false">IFERROR(AH112/$AH$114,"$-")</f>
        <v>$-</v>
      </c>
      <c r="AM112" s="138"/>
      <c r="AN112" s="138"/>
      <c r="AO112" s="138"/>
    </row>
    <row r="113" customFormat="false" ht="10.5" hidden="false" customHeight="true" outlineLevel="0" collapsed="false">
      <c r="A113" s="96" t="n">
        <v>13</v>
      </c>
      <c r="B113" s="135"/>
      <c r="C113" s="135"/>
      <c r="D113" s="135"/>
      <c r="E113" s="135"/>
      <c r="F113" s="135"/>
      <c r="G113" s="135"/>
      <c r="H113" s="135"/>
      <c r="I113" s="135"/>
      <c r="J113" s="19"/>
      <c r="K113" s="19"/>
      <c r="L113" s="19"/>
      <c r="M113" s="19"/>
      <c r="N113" s="19"/>
      <c r="O113" s="19"/>
      <c r="P113" s="19"/>
      <c r="Q113" s="19"/>
      <c r="R113" s="19"/>
      <c r="S113" s="19"/>
      <c r="T113" s="19"/>
      <c r="U113" s="19"/>
      <c r="V113" s="19"/>
      <c r="W113" s="139" t="n">
        <f aca="false">J113*S113</f>
        <v>0</v>
      </c>
      <c r="X113" s="139"/>
      <c r="Y113" s="139"/>
      <c r="Z113" s="139"/>
      <c r="AA113" s="139" t="n">
        <f aca="false">J113*P113</f>
        <v>0</v>
      </c>
      <c r="AB113" s="139"/>
      <c r="AC113" s="139"/>
      <c r="AD113" s="139"/>
      <c r="AE113" s="139" t="n">
        <f aca="false">M113*P113</f>
        <v>0</v>
      </c>
      <c r="AF113" s="139"/>
      <c r="AG113" s="139"/>
      <c r="AH113" s="140" t="n">
        <f aca="false">W113-AA113</f>
        <v>0</v>
      </c>
      <c r="AI113" s="140"/>
      <c r="AJ113" s="140"/>
      <c r="AK113" s="140"/>
      <c r="AL113" s="138" t="str">
        <f aca="false">IFERROR(AH113/$AH$114,"$-")</f>
        <v>$-</v>
      </c>
      <c r="AM113" s="138"/>
      <c r="AN113" s="138"/>
      <c r="AO113" s="138"/>
    </row>
    <row r="114" customFormat="false" ht="10.5" hidden="false" customHeight="true" outlineLevel="0" collapsed="false">
      <c r="A114" s="141" t="s">
        <v>239</v>
      </c>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2" t="n">
        <f aca="false">SUM(W101:Z113)</f>
        <v>0</v>
      </c>
      <c r="X114" s="142"/>
      <c r="Y114" s="142"/>
      <c r="Z114" s="142"/>
      <c r="AA114" s="142" t="n">
        <f aca="false">SUM(AA101:AD113)</f>
        <v>0</v>
      </c>
      <c r="AB114" s="142"/>
      <c r="AC114" s="142"/>
      <c r="AD114" s="142"/>
      <c r="AE114" s="142" t="n">
        <f aca="false">SUM(AE101:AG113)</f>
        <v>0</v>
      </c>
      <c r="AF114" s="142"/>
      <c r="AG114" s="142"/>
      <c r="AH114" s="142" t="n">
        <f aca="false">SUM(AH101:AK113)</f>
        <v>0</v>
      </c>
      <c r="AI114" s="142"/>
      <c r="AJ114" s="142"/>
      <c r="AK114" s="142"/>
      <c r="AL114" s="143" t="n">
        <f aca="false">SUM(AL101:AO113)</f>
        <v>0</v>
      </c>
      <c r="AM114" s="143"/>
      <c r="AN114" s="143"/>
      <c r="AO114" s="143"/>
    </row>
    <row r="115" customFormat="false" ht="10.5" hidden="false" customHeight="true" outlineLevel="0" collapsed="false">
      <c r="A115" s="144"/>
      <c r="B115" s="125"/>
      <c r="C115" s="26"/>
      <c r="D115" s="26"/>
      <c r="E115" s="26"/>
      <c r="F115" s="26"/>
      <c r="G115" s="26"/>
      <c r="H115" s="26"/>
      <c r="I115" s="26"/>
      <c r="J115" s="26"/>
      <c r="K115" s="26"/>
      <c r="L115" s="26"/>
      <c r="M115" s="26"/>
      <c r="N115" s="26"/>
      <c r="O115" s="26"/>
      <c r="P115" s="26"/>
      <c r="Q115" s="26"/>
      <c r="R115" s="26"/>
      <c r="S115" s="26"/>
      <c r="T115" s="26"/>
      <c r="U115" s="125"/>
      <c r="V115" s="125"/>
      <c r="W115" s="125"/>
      <c r="X115" s="125"/>
      <c r="Y115" s="125"/>
      <c r="Z115" s="125"/>
      <c r="AA115" s="125"/>
      <c r="AB115" s="125"/>
      <c r="AC115" s="125"/>
      <c r="AD115" s="125"/>
      <c r="AE115" s="125"/>
      <c r="AF115" s="125"/>
      <c r="AG115" s="125"/>
      <c r="AH115" s="125"/>
      <c r="AI115" s="145"/>
      <c r="AJ115" s="145"/>
      <c r="AK115" s="145"/>
      <c r="AL115" s="145"/>
      <c r="AM115" s="145"/>
      <c r="AN115" s="145"/>
      <c r="AO115" s="146"/>
    </row>
    <row r="116" customFormat="false" ht="10.5" hidden="false" customHeight="true" outlineLevel="0" collapsed="false">
      <c r="A116" s="48" t="s">
        <v>240</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88" customFormat="true" ht="10.5" hidden="false" customHeight="true" outlineLevel="0" collapsed="false">
      <c r="A117" s="147" t="s">
        <v>241</v>
      </c>
      <c r="B117" s="147"/>
      <c r="C117" s="147"/>
      <c r="D117" s="147"/>
      <c r="E117" s="147"/>
      <c r="F117" s="147"/>
      <c r="G117" s="147"/>
      <c r="H117" s="147"/>
      <c r="I117" s="147"/>
      <c r="J117" s="147"/>
      <c r="K117" s="147"/>
      <c r="L117" s="147"/>
      <c r="M117" s="147"/>
      <c r="N117" s="147"/>
      <c r="O117" s="147"/>
      <c r="P117" s="147"/>
      <c r="Q117" s="147"/>
      <c r="R117" s="147"/>
      <c r="S117" s="148"/>
      <c r="T117" s="148"/>
      <c r="U117" s="149" t="s">
        <v>242</v>
      </c>
      <c r="V117" s="149"/>
      <c r="W117" s="149"/>
      <c r="X117" s="149"/>
      <c r="Y117" s="149"/>
      <c r="Z117" s="149"/>
      <c r="AA117" s="149"/>
      <c r="AB117" s="149"/>
      <c r="AC117" s="149"/>
      <c r="AD117" s="149"/>
      <c r="AE117" s="149"/>
      <c r="AF117" s="149"/>
      <c r="AG117" s="149"/>
      <c r="AH117" s="149"/>
      <c r="AI117" s="149"/>
      <c r="AJ117" s="149"/>
      <c r="AK117" s="149"/>
      <c r="AL117" s="149"/>
      <c r="AM117" s="149"/>
      <c r="AN117" s="149"/>
      <c r="AO117" s="149"/>
      <c r="AP117" s="7"/>
      <c r="AQ117" s="7"/>
      <c r="AR117" s="7"/>
      <c r="AS117" s="7"/>
      <c r="AT117" s="7"/>
      <c r="AU117" s="7"/>
      <c r="AV117" s="7"/>
      <c r="AW117" s="7"/>
      <c r="AX117" s="7"/>
      <c r="AY117" s="7"/>
      <c r="AZ117" s="7"/>
      <c r="BA117" s="7"/>
      <c r="BB117" s="7"/>
      <c r="BC117" s="7"/>
    </row>
    <row r="118" s="88" customFormat="true" ht="10.5" hidden="false" customHeight="true" outlineLevel="0" collapsed="false">
      <c r="A118" s="147" t="s">
        <v>243</v>
      </c>
      <c r="B118" s="147"/>
      <c r="C118" s="147"/>
      <c r="D118" s="147"/>
      <c r="E118" s="147"/>
      <c r="F118" s="147"/>
      <c r="G118" s="147"/>
      <c r="H118" s="147"/>
      <c r="I118" s="147"/>
      <c r="J118" s="150" t="s">
        <v>244</v>
      </c>
      <c r="K118" s="150"/>
      <c r="L118" s="150"/>
      <c r="M118" s="150" t="s">
        <v>245</v>
      </c>
      <c r="N118" s="150"/>
      <c r="O118" s="150"/>
      <c r="P118" s="149" t="s">
        <v>246</v>
      </c>
      <c r="Q118" s="149"/>
      <c r="R118" s="149"/>
      <c r="S118" s="148"/>
      <c r="T118" s="148"/>
      <c r="U118" s="147" t="s">
        <v>247</v>
      </c>
      <c r="V118" s="147"/>
      <c r="W118" s="147"/>
      <c r="X118" s="147"/>
      <c r="Y118" s="147"/>
      <c r="Z118" s="147"/>
      <c r="AA118" s="147"/>
      <c r="AB118" s="147"/>
      <c r="AC118" s="147"/>
      <c r="AD118" s="147"/>
      <c r="AE118" s="147"/>
      <c r="AF118" s="147"/>
      <c r="AG118" s="150" t="s">
        <v>244</v>
      </c>
      <c r="AH118" s="150"/>
      <c r="AI118" s="150"/>
      <c r="AJ118" s="150" t="s">
        <v>245</v>
      </c>
      <c r="AK118" s="150"/>
      <c r="AL118" s="150"/>
      <c r="AM118" s="149" t="s">
        <v>246</v>
      </c>
      <c r="AN118" s="149"/>
      <c r="AO118" s="149"/>
      <c r="AP118" s="7"/>
      <c r="AQ118" s="7"/>
      <c r="AR118" s="7"/>
      <c r="AS118" s="7"/>
      <c r="AT118" s="7"/>
      <c r="AU118" s="7"/>
      <c r="AV118" s="7"/>
      <c r="AW118" s="7"/>
      <c r="AX118" s="7"/>
      <c r="AY118" s="7"/>
      <c r="AZ118" s="7"/>
      <c r="BA118" s="7"/>
      <c r="BB118" s="7"/>
      <c r="BC118" s="7"/>
    </row>
    <row r="119" customFormat="false" ht="10.5" hidden="false" customHeight="true" outlineLevel="0" collapsed="false">
      <c r="A119" s="151"/>
      <c r="B119" s="151"/>
      <c r="C119" s="151"/>
      <c r="D119" s="151"/>
      <c r="E119" s="151"/>
      <c r="F119" s="151"/>
      <c r="G119" s="151"/>
      <c r="H119" s="151"/>
      <c r="I119" s="151"/>
      <c r="J119" s="152"/>
      <c r="K119" s="152"/>
      <c r="L119" s="152"/>
      <c r="M119" s="153"/>
      <c r="N119" s="153"/>
      <c r="O119" s="153"/>
      <c r="P119" s="154" t="n">
        <f aca="false">J119*M119</f>
        <v>0</v>
      </c>
      <c r="Q119" s="154"/>
      <c r="R119" s="154"/>
      <c r="S119" s="148"/>
      <c r="T119" s="148"/>
      <c r="U119" s="155"/>
      <c r="V119" s="155"/>
      <c r="W119" s="155"/>
      <c r="X119" s="155"/>
      <c r="Y119" s="155"/>
      <c r="Z119" s="155"/>
      <c r="AA119" s="155"/>
      <c r="AB119" s="155"/>
      <c r="AC119" s="155"/>
      <c r="AD119" s="155"/>
      <c r="AE119" s="155"/>
      <c r="AF119" s="155"/>
      <c r="AG119" s="156"/>
      <c r="AH119" s="156"/>
      <c r="AI119" s="156"/>
      <c r="AJ119" s="157"/>
      <c r="AK119" s="157"/>
      <c r="AL119" s="157"/>
      <c r="AM119" s="158" t="n">
        <f aca="false">AG119*AJ119</f>
        <v>0</v>
      </c>
      <c r="AN119" s="158"/>
      <c r="AO119" s="158"/>
    </row>
    <row r="120" customFormat="false" ht="10.5" hidden="false" customHeight="true" outlineLevel="0" collapsed="false">
      <c r="A120" s="159"/>
      <c r="B120" s="159"/>
      <c r="C120" s="159"/>
      <c r="D120" s="159"/>
      <c r="E120" s="159"/>
      <c r="F120" s="159"/>
      <c r="G120" s="159"/>
      <c r="H120" s="159"/>
      <c r="I120" s="159"/>
      <c r="J120" s="160"/>
      <c r="K120" s="160"/>
      <c r="L120" s="160"/>
      <c r="M120" s="161"/>
      <c r="N120" s="161"/>
      <c r="O120" s="161"/>
      <c r="P120" s="162" t="n">
        <f aca="false">J120*M120</f>
        <v>0</v>
      </c>
      <c r="Q120" s="162"/>
      <c r="R120" s="162"/>
      <c r="S120" s="148"/>
      <c r="T120" s="148"/>
      <c r="U120" s="163"/>
      <c r="V120" s="163"/>
      <c r="W120" s="163"/>
      <c r="X120" s="163"/>
      <c r="Y120" s="163"/>
      <c r="Z120" s="163"/>
      <c r="AA120" s="163"/>
      <c r="AB120" s="163"/>
      <c r="AC120" s="163"/>
      <c r="AD120" s="163"/>
      <c r="AE120" s="163"/>
      <c r="AF120" s="163"/>
      <c r="AG120" s="164"/>
      <c r="AH120" s="164"/>
      <c r="AI120" s="164"/>
      <c r="AJ120" s="165"/>
      <c r="AK120" s="165"/>
      <c r="AL120" s="165"/>
      <c r="AM120" s="137" t="n">
        <f aca="false">AG120*AJ120</f>
        <v>0</v>
      </c>
      <c r="AN120" s="137"/>
      <c r="AO120" s="137"/>
    </row>
    <row r="121" customFormat="false" ht="10.5" hidden="false" customHeight="true" outlineLevel="0" collapsed="false">
      <c r="A121" s="159"/>
      <c r="B121" s="159"/>
      <c r="C121" s="159"/>
      <c r="D121" s="159"/>
      <c r="E121" s="159"/>
      <c r="F121" s="159"/>
      <c r="G121" s="159"/>
      <c r="H121" s="159"/>
      <c r="I121" s="159"/>
      <c r="J121" s="160"/>
      <c r="K121" s="160"/>
      <c r="L121" s="160"/>
      <c r="M121" s="161"/>
      <c r="N121" s="161"/>
      <c r="O121" s="161"/>
      <c r="P121" s="162" t="n">
        <f aca="false">J121*M121</f>
        <v>0</v>
      </c>
      <c r="Q121" s="162"/>
      <c r="R121" s="162"/>
      <c r="S121" s="148"/>
      <c r="T121" s="148"/>
      <c r="U121" s="163"/>
      <c r="V121" s="163"/>
      <c r="W121" s="163"/>
      <c r="X121" s="163"/>
      <c r="Y121" s="163"/>
      <c r="Z121" s="163"/>
      <c r="AA121" s="163"/>
      <c r="AB121" s="163"/>
      <c r="AC121" s="163"/>
      <c r="AD121" s="163"/>
      <c r="AE121" s="163"/>
      <c r="AF121" s="163"/>
      <c r="AG121" s="164"/>
      <c r="AH121" s="164"/>
      <c r="AI121" s="164"/>
      <c r="AJ121" s="165"/>
      <c r="AK121" s="165"/>
      <c r="AL121" s="165"/>
      <c r="AM121" s="137" t="n">
        <f aca="false">AG121*AJ121</f>
        <v>0</v>
      </c>
      <c r="AN121" s="137"/>
      <c r="AO121" s="137"/>
    </row>
    <row r="122" customFormat="false" ht="10.5" hidden="false" customHeight="true" outlineLevel="0" collapsed="false">
      <c r="A122" s="159"/>
      <c r="B122" s="159"/>
      <c r="C122" s="159"/>
      <c r="D122" s="159"/>
      <c r="E122" s="159"/>
      <c r="F122" s="159"/>
      <c r="G122" s="159"/>
      <c r="H122" s="159"/>
      <c r="I122" s="159"/>
      <c r="J122" s="160"/>
      <c r="K122" s="160"/>
      <c r="L122" s="160"/>
      <c r="M122" s="161"/>
      <c r="N122" s="161"/>
      <c r="O122" s="161"/>
      <c r="P122" s="162" t="n">
        <f aca="false">J122*M122</f>
        <v>0</v>
      </c>
      <c r="Q122" s="162"/>
      <c r="R122" s="162"/>
      <c r="S122" s="148"/>
      <c r="T122" s="148"/>
      <c r="U122" s="163"/>
      <c r="V122" s="163"/>
      <c r="W122" s="163"/>
      <c r="X122" s="163"/>
      <c r="Y122" s="163"/>
      <c r="Z122" s="163"/>
      <c r="AA122" s="163"/>
      <c r="AB122" s="163"/>
      <c r="AC122" s="163"/>
      <c r="AD122" s="163"/>
      <c r="AE122" s="163"/>
      <c r="AF122" s="163"/>
      <c r="AG122" s="164"/>
      <c r="AH122" s="164"/>
      <c r="AI122" s="164"/>
      <c r="AJ122" s="165"/>
      <c r="AK122" s="165"/>
      <c r="AL122" s="165"/>
      <c r="AM122" s="137" t="n">
        <f aca="false">AG122*AJ122</f>
        <v>0</v>
      </c>
      <c r="AN122" s="137"/>
      <c r="AO122" s="137"/>
    </row>
    <row r="123" customFormat="false" ht="10.5" hidden="false" customHeight="true" outlineLevel="0" collapsed="false">
      <c r="A123" s="159"/>
      <c r="B123" s="159"/>
      <c r="C123" s="159"/>
      <c r="D123" s="159"/>
      <c r="E123" s="159"/>
      <c r="F123" s="159"/>
      <c r="G123" s="159"/>
      <c r="H123" s="159"/>
      <c r="I123" s="159"/>
      <c r="J123" s="160"/>
      <c r="K123" s="160"/>
      <c r="L123" s="160"/>
      <c r="M123" s="161"/>
      <c r="N123" s="161"/>
      <c r="O123" s="161"/>
      <c r="P123" s="162" t="n">
        <f aca="false">J123*M123</f>
        <v>0</v>
      </c>
      <c r="Q123" s="162"/>
      <c r="R123" s="162"/>
      <c r="S123" s="148"/>
      <c r="T123" s="148"/>
      <c r="U123" s="163"/>
      <c r="V123" s="163"/>
      <c r="W123" s="163"/>
      <c r="X123" s="163"/>
      <c r="Y123" s="163"/>
      <c r="Z123" s="163"/>
      <c r="AA123" s="163"/>
      <c r="AB123" s="163"/>
      <c r="AC123" s="163"/>
      <c r="AD123" s="163"/>
      <c r="AE123" s="163"/>
      <c r="AF123" s="163"/>
      <c r="AG123" s="164"/>
      <c r="AH123" s="164"/>
      <c r="AI123" s="164"/>
      <c r="AJ123" s="165"/>
      <c r="AK123" s="165"/>
      <c r="AL123" s="165"/>
      <c r="AM123" s="137" t="n">
        <f aca="false">AG123*AJ123</f>
        <v>0</v>
      </c>
      <c r="AN123" s="137"/>
      <c r="AO123" s="137"/>
    </row>
    <row r="124" customFormat="false" ht="10.5" hidden="false" customHeight="true" outlineLevel="0" collapsed="false">
      <c r="A124" s="159"/>
      <c r="B124" s="159"/>
      <c r="C124" s="159"/>
      <c r="D124" s="159"/>
      <c r="E124" s="159"/>
      <c r="F124" s="159"/>
      <c r="G124" s="159"/>
      <c r="H124" s="159"/>
      <c r="I124" s="159"/>
      <c r="J124" s="160"/>
      <c r="K124" s="160"/>
      <c r="L124" s="160"/>
      <c r="M124" s="161"/>
      <c r="N124" s="161"/>
      <c r="O124" s="161"/>
      <c r="P124" s="162" t="n">
        <f aca="false">J124*M124</f>
        <v>0</v>
      </c>
      <c r="Q124" s="162"/>
      <c r="R124" s="162"/>
      <c r="S124" s="148"/>
      <c r="T124" s="148"/>
      <c r="U124" s="163"/>
      <c r="V124" s="163"/>
      <c r="W124" s="163"/>
      <c r="X124" s="163"/>
      <c r="Y124" s="163"/>
      <c r="Z124" s="163"/>
      <c r="AA124" s="163"/>
      <c r="AB124" s="163"/>
      <c r="AC124" s="163"/>
      <c r="AD124" s="163"/>
      <c r="AE124" s="163"/>
      <c r="AF124" s="163"/>
      <c r="AG124" s="164"/>
      <c r="AH124" s="164"/>
      <c r="AI124" s="164"/>
      <c r="AJ124" s="165"/>
      <c r="AK124" s="165"/>
      <c r="AL124" s="165"/>
      <c r="AM124" s="137" t="n">
        <f aca="false">AG124*AJ124</f>
        <v>0</v>
      </c>
      <c r="AN124" s="137"/>
      <c r="AO124" s="137"/>
    </row>
    <row r="125" customFormat="false" ht="10.5" hidden="false" customHeight="true" outlineLevel="0" collapsed="false">
      <c r="A125" s="159"/>
      <c r="B125" s="159"/>
      <c r="C125" s="159"/>
      <c r="D125" s="159"/>
      <c r="E125" s="159"/>
      <c r="F125" s="159"/>
      <c r="G125" s="159"/>
      <c r="H125" s="159"/>
      <c r="I125" s="159"/>
      <c r="J125" s="160"/>
      <c r="K125" s="160"/>
      <c r="L125" s="160"/>
      <c r="M125" s="161"/>
      <c r="N125" s="161"/>
      <c r="O125" s="161"/>
      <c r="P125" s="162" t="n">
        <f aca="false">J125*M125</f>
        <v>0</v>
      </c>
      <c r="Q125" s="162"/>
      <c r="R125" s="162"/>
      <c r="S125" s="148"/>
      <c r="T125" s="148"/>
      <c r="U125" s="163"/>
      <c r="V125" s="163"/>
      <c r="W125" s="163"/>
      <c r="X125" s="163"/>
      <c r="Y125" s="163"/>
      <c r="Z125" s="163"/>
      <c r="AA125" s="163"/>
      <c r="AB125" s="163"/>
      <c r="AC125" s="163"/>
      <c r="AD125" s="163"/>
      <c r="AE125" s="163"/>
      <c r="AF125" s="163"/>
      <c r="AG125" s="164"/>
      <c r="AH125" s="164"/>
      <c r="AI125" s="164"/>
      <c r="AJ125" s="165"/>
      <c r="AK125" s="165"/>
      <c r="AL125" s="165"/>
      <c r="AM125" s="137" t="n">
        <f aca="false">AG125*AJ125</f>
        <v>0</v>
      </c>
      <c r="AN125" s="137"/>
      <c r="AO125" s="137"/>
    </row>
    <row r="126" customFormat="false" ht="10.5" hidden="false" customHeight="true" outlineLevel="0" collapsed="false">
      <c r="A126" s="166"/>
      <c r="B126" s="166"/>
      <c r="C126" s="166"/>
      <c r="D126" s="166"/>
      <c r="E126" s="166"/>
      <c r="F126" s="166"/>
      <c r="G126" s="166"/>
      <c r="H126" s="166"/>
      <c r="I126" s="166"/>
      <c r="J126" s="167"/>
      <c r="K126" s="167"/>
      <c r="L126" s="167"/>
      <c r="M126" s="168"/>
      <c r="N126" s="168"/>
      <c r="O126" s="168"/>
      <c r="P126" s="169" t="n">
        <f aca="false">J126*M126</f>
        <v>0</v>
      </c>
      <c r="Q126" s="169"/>
      <c r="R126" s="169"/>
      <c r="S126" s="148"/>
      <c r="T126" s="148"/>
      <c r="U126" s="170"/>
      <c r="V126" s="170"/>
      <c r="W126" s="170"/>
      <c r="X126" s="170"/>
      <c r="Y126" s="170"/>
      <c r="Z126" s="170"/>
      <c r="AA126" s="170"/>
      <c r="AB126" s="170"/>
      <c r="AC126" s="170"/>
      <c r="AD126" s="170"/>
      <c r="AE126" s="170"/>
      <c r="AF126" s="170"/>
      <c r="AG126" s="171"/>
      <c r="AH126" s="171"/>
      <c r="AI126" s="171"/>
      <c r="AJ126" s="172"/>
      <c r="AK126" s="172"/>
      <c r="AL126" s="172"/>
      <c r="AM126" s="140" t="n">
        <f aca="false">AG126*AJ126</f>
        <v>0</v>
      </c>
      <c r="AN126" s="140"/>
      <c r="AO126" s="140"/>
    </row>
    <row r="127" customFormat="false" ht="10.5" hidden="false" customHeight="true" outlineLevel="0" collapsed="false">
      <c r="A127" s="73" t="s">
        <v>248</v>
      </c>
      <c r="B127" s="73"/>
      <c r="C127" s="73"/>
      <c r="D127" s="73"/>
      <c r="E127" s="73"/>
      <c r="F127" s="73"/>
      <c r="G127" s="73"/>
      <c r="H127" s="73"/>
      <c r="I127" s="73"/>
      <c r="J127" s="73"/>
      <c r="K127" s="73"/>
      <c r="L127" s="73"/>
      <c r="M127" s="73"/>
      <c r="N127" s="73"/>
      <c r="O127" s="173" t="n">
        <f aca="false">SUM(P119:R126)</f>
        <v>0</v>
      </c>
      <c r="P127" s="173"/>
      <c r="Q127" s="173"/>
      <c r="R127" s="173"/>
      <c r="S127" s="148"/>
      <c r="T127" s="148"/>
      <c r="U127" s="73" t="s">
        <v>249</v>
      </c>
      <c r="V127" s="73"/>
      <c r="W127" s="73"/>
      <c r="X127" s="73"/>
      <c r="Y127" s="73"/>
      <c r="Z127" s="73"/>
      <c r="AA127" s="73"/>
      <c r="AB127" s="73"/>
      <c r="AC127" s="73"/>
      <c r="AD127" s="73"/>
      <c r="AE127" s="73"/>
      <c r="AF127" s="73"/>
      <c r="AG127" s="73"/>
      <c r="AH127" s="73"/>
      <c r="AI127" s="73"/>
      <c r="AJ127" s="73"/>
      <c r="AK127" s="142" t="n">
        <f aca="false">SUM(AM119:AO126)</f>
        <v>0</v>
      </c>
      <c r="AL127" s="142"/>
      <c r="AM127" s="142"/>
      <c r="AN127" s="142"/>
      <c r="AO127" s="142"/>
    </row>
    <row r="128" customFormat="false" ht="10.5" hidden="false" customHeight="true" outlineLevel="0" collapsed="false">
      <c r="A128" s="38"/>
      <c r="AO128" s="40"/>
    </row>
    <row r="129" customFormat="false" ht="10.5" hidden="false" customHeight="true" outlineLevel="0" collapsed="false">
      <c r="A129" s="45"/>
      <c r="B129" s="46"/>
      <c r="C129" s="46"/>
      <c r="D129" s="46"/>
      <c r="E129" s="46"/>
      <c r="F129" s="46"/>
      <c r="G129" s="46"/>
      <c r="H129" s="46"/>
      <c r="I129" s="46"/>
      <c r="J129" s="46"/>
      <c r="K129" s="46"/>
      <c r="L129" s="46"/>
      <c r="M129" s="174" t="s">
        <v>250</v>
      </c>
      <c r="N129" s="174"/>
      <c r="O129" s="174"/>
      <c r="P129" s="174"/>
      <c r="Q129" s="174"/>
      <c r="R129" s="174"/>
      <c r="S129" s="175" t="n">
        <f aca="false">O127-AK127</f>
        <v>0</v>
      </c>
      <c r="T129" s="175"/>
      <c r="U129" s="175"/>
      <c r="V129" s="175"/>
      <c r="W129" s="46"/>
      <c r="X129" s="46"/>
      <c r="Y129" s="46"/>
      <c r="Z129" s="46"/>
      <c r="AA129" s="46"/>
      <c r="AB129" s="46"/>
      <c r="AC129" s="46"/>
      <c r="AD129" s="46"/>
      <c r="AE129" s="46"/>
      <c r="AF129" s="46"/>
      <c r="AG129" s="46"/>
      <c r="AH129" s="46"/>
      <c r="AI129" s="46"/>
      <c r="AJ129" s="46"/>
      <c r="AK129" s="46"/>
      <c r="AL129" s="46"/>
      <c r="AM129" s="46"/>
      <c r="AN129" s="46"/>
      <c r="AO129" s="47"/>
    </row>
    <row r="130" customFormat="false" ht="10.5" hidden="false" customHeight="true" outlineLevel="0" collapsed="false">
      <c r="A130" s="45"/>
      <c r="B130" s="46"/>
      <c r="C130" s="46"/>
      <c r="D130" s="46"/>
      <c r="E130" s="46"/>
      <c r="F130" s="46"/>
      <c r="G130" s="46"/>
      <c r="H130" s="46"/>
      <c r="I130" s="46"/>
      <c r="J130" s="46"/>
      <c r="K130" s="46"/>
      <c r="L130" s="46"/>
      <c r="M130" s="125"/>
      <c r="N130" s="125"/>
      <c r="O130" s="125"/>
      <c r="P130" s="125"/>
      <c r="Q130" s="125"/>
      <c r="R130" s="125"/>
      <c r="S130" s="176"/>
      <c r="T130" s="125"/>
      <c r="U130" s="125"/>
      <c r="V130" s="125"/>
      <c r="W130" s="46"/>
      <c r="X130" s="46"/>
      <c r="Y130" s="46"/>
      <c r="Z130" s="46"/>
      <c r="AA130" s="46"/>
      <c r="AB130" s="46"/>
      <c r="AC130" s="46"/>
      <c r="AD130" s="46"/>
      <c r="AE130" s="46"/>
      <c r="AF130" s="46"/>
      <c r="AG130" s="46"/>
      <c r="AH130" s="46"/>
      <c r="AI130" s="46"/>
      <c r="AJ130" s="46"/>
      <c r="AK130" s="46"/>
      <c r="AL130" s="46"/>
      <c r="AM130" s="46"/>
      <c r="AN130" s="46"/>
      <c r="AO130" s="47"/>
    </row>
    <row r="131" customFormat="false" ht="10.5" hidden="false" customHeight="true" outlineLevel="0" collapsed="false">
      <c r="A131" s="48" t="s">
        <v>251</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row>
    <row r="132" s="88" customFormat="true" ht="10.5" hidden="false" customHeight="true" outlineLevel="0" collapsed="false">
      <c r="A132" s="73" t="s">
        <v>252</v>
      </c>
      <c r="B132" s="73"/>
      <c r="C132" s="73"/>
      <c r="D132" s="73"/>
      <c r="E132" s="177"/>
      <c r="F132" s="177"/>
      <c r="G132" s="177"/>
      <c r="H132" s="177"/>
      <c r="I132" s="177"/>
      <c r="J132" s="177"/>
      <c r="K132" s="177"/>
      <c r="L132" s="177"/>
      <c r="M132" s="177"/>
      <c r="N132" s="177"/>
      <c r="O132" s="177"/>
      <c r="P132" s="177"/>
      <c r="Q132" s="177"/>
      <c r="R132" s="177"/>
      <c r="S132" s="178"/>
      <c r="T132" s="73" t="s">
        <v>253</v>
      </c>
      <c r="U132" s="73"/>
      <c r="V132" s="73"/>
      <c r="W132" s="73"/>
      <c r="X132" s="179"/>
      <c r="Y132" s="179"/>
      <c r="Z132" s="179"/>
      <c r="AA132" s="179"/>
      <c r="AB132" s="179"/>
      <c r="AC132" s="179"/>
      <c r="AD132" s="179"/>
      <c r="AE132" s="179"/>
      <c r="AF132" s="179"/>
      <c r="AG132" s="179"/>
      <c r="AH132" s="179"/>
      <c r="AI132" s="179"/>
      <c r="AJ132" s="179"/>
      <c r="AK132" s="179"/>
      <c r="AL132" s="179"/>
      <c r="AM132" s="179"/>
      <c r="AN132" s="179"/>
      <c r="AO132" s="179"/>
      <c r="AP132" s="7"/>
      <c r="AQ132" s="7"/>
      <c r="AR132" s="7"/>
      <c r="AS132" s="7"/>
      <c r="AT132" s="7"/>
      <c r="AU132" s="7"/>
      <c r="AV132" s="7"/>
      <c r="AW132" s="7"/>
      <c r="AX132" s="7"/>
      <c r="AY132" s="7"/>
      <c r="AZ132" s="7"/>
      <c r="BA132" s="7"/>
      <c r="BB132" s="7"/>
      <c r="BC132" s="7"/>
    </row>
    <row r="133" s="88" customFormat="true" ht="10.5" hidden="false" customHeight="true" outlineLevel="0" collapsed="false">
      <c r="A133" s="180" t="s">
        <v>254</v>
      </c>
      <c r="B133" s="180"/>
      <c r="C133" s="180"/>
      <c r="D133" s="180"/>
      <c r="E133" s="180"/>
      <c r="F133" s="180"/>
      <c r="G133" s="180"/>
      <c r="H133" s="180"/>
      <c r="I133" s="180"/>
      <c r="J133" s="78" t="s">
        <v>244</v>
      </c>
      <c r="K133" s="78"/>
      <c r="L133" s="78"/>
      <c r="M133" s="78" t="s">
        <v>255</v>
      </c>
      <c r="N133" s="78"/>
      <c r="O133" s="78"/>
      <c r="P133" s="78" t="s">
        <v>256</v>
      </c>
      <c r="Q133" s="78"/>
      <c r="R133" s="78"/>
      <c r="S133" s="178"/>
      <c r="T133" s="181" t="s">
        <v>254</v>
      </c>
      <c r="U133" s="181"/>
      <c r="V133" s="181"/>
      <c r="W133" s="181"/>
      <c r="X133" s="181"/>
      <c r="Y133" s="181"/>
      <c r="Z133" s="181"/>
      <c r="AA133" s="181"/>
      <c r="AB133" s="181"/>
      <c r="AC133" s="181"/>
      <c r="AD133" s="181"/>
      <c r="AE133" s="78" t="s">
        <v>244</v>
      </c>
      <c r="AF133" s="78"/>
      <c r="AG133" s="78"/>
      <c r="AH133" s="78" t="s">
        <v>255</v>
      </c>
      <c r="AI133" s="78"/>
      <c r="AJ133" s="78"/>
      <c r="AK133" s="78"/>
      <c r="AL133" s="79" t="s">
        <v>256</v>
      </c>
      <c r="AM133" s="79"/>
      <c r="AN133" s="79"/>
      <c r="AO133" s="79"/>
      <c r="AP133" s="7"/>
      <c r="AQ133" s="7"/>
      <c r="AR133" s="7"/>
      <c r="AS133" s="7"/>
      <c r="AT133" s="7"/>
      <c r="AU133" s="7"/>
      <c r="AV133" s="7"/>
      <c r="AW133" s="7"/>
      <c r="AX133" s="7"/>
      <c r="AY133" s="7"/>
      <c r="AZ133" s="7"/>
      <c r="BA133" s="7"/>
      <c r="BB133" s="7"/>
      <c r="BC133" s="7"/>
    </row>
    <row r="134" customFormat="false" ht="10.5" hidden="false" customHeight="true" outlineLevel="0" collapsed="false">
      <c r="A134" s="159"/>
      <c r="B134" s="159"/>
      <c r="C134" s="159"/>
      <c r="D134" s="159"/>
      <c r="E134" s="159"/>
      <c r="F134" s="159"/>
      <c r="G134" s="159"/>
      <c r="H134" s="159"/>
      <c r="I134" s="159"/>
      <c r="J134" s="19"/>
      <c r="K134" s="19"/>
      <c r="L134" s="19"/>
      <c r="M134" s="182"/>
      <c r="N134" s="182"/>
      <c r="O134" s="182"/>
      <c r="P134" s="183" t="n">
        <f aca="false">J134*M134</f>
        <v>0</v>
      </c>
      <c r="Q134" s="183"/>
      <c r="R134" s="183"/>
      <c r="S134" s="178"/>
      <c r="T134" s="163"/>
      <c r="U134" s="163"/>
      <c r="V134" s="163"/>
      <c r="W134" s="163"/>
      <c r="X134" s="163"/>
      <c r="Y134" s="163"/>
      <c r="Z134" s="163"/>
      <c r="AA134" s="163"/>
      <c r="AB134" s="163"/>
      <c r="AC134" s="163"/>
      <c r="AD134" s="163"/>
      <c r="AE134" s="19"/>
      <c r="AF134" s="19"/>
      <c r="AG134" s="19"/>
      <c r="AH134" s="182"/>
      <c r="AI134" s="182"/>
      <c r="AJ134" s="182"/>
      <c r="AK134" s="182"/>
      <c r="AL134" s="183" t="n">
        <f aca="false">AE134*AH134</f>
        <v>0</v>
      </c>
      <c r="AM134" s="183"/>
      <c r="AN134" s="183"/>
      <c r="AO134" s="183"/>
    </row>
    <row r="135" customFormat="false" ht="10.5" hidden="false" customHeight="true" outlineLevel="0" collapsed="false">
      <c r="A135" s="159"/>
      <c r="B135" s="159"/>
      <c r="C135" s="159"/>
      <c r="D135" s="159"/>
      <c r="E135" s="159"/>
      <c r="F135" s="159"/>
      <c r="G135" s="159"/>
      <c r="H135" s="159"/>
      <c r="I135" s="159"/>
      <c r="J135" s="19"/>
      <c r="K135" s="19"/>
      <c r="L135" s="19"/>
      <c r="M135" s="182"/>
      <c r="N135" s="182"/>
      <c r="O135" s="182"/>
      <c r="P135" s="183" t="n">
        <f aca="false">J135*M135</f>
        <v>0</v>
      </c>
      <c r="Q135" s="183"/>
      <c r="R135" s="183"/>
      <c r="S135" s="178"/>
      <c r="T135" s="163"/>
      <c r="U135" s="163"/>
      <c r="V135" s="163"/>
      <c r="W135" s="163"/>
      <c r="X135" s="163"/>
      <c r="Y135" s="163"/>
      <c r="Z135" s="163"/>
      <c r="AA135" s="163"/>
      <c r="AB135" s="163"/>
      <c r="AC135" s="163"/>
      <c r="AD135" s="163"/>
      <c r="AE135" s="19"/>
      <c r="AF135" s="19"/>
      <c r="AG135" s="19"/>
      <c r="AH135" s="182"/>
      <c r="AI135" s="182"/>
      <c r="AJ135" s="182"/>
      <c r="AK135" s="182"/>
      <c r="AL135" s="183" t="n">
        <f aca="false">AE135*AH135</f>
        <v>0</v>
      </c>
      <c r="AM135" s="183"/>
      <c r="AN135" s="183"/>
      <c r="AO135" s="183"/>
    </row>
    <row r="136" customFormat="false" ht="10.5" hidden="false" customHeight="true" outlineLevel="0" collapsed="false">
      <c r="A136" s="159"/>
      <c r="B136" s="159"/>
      <c r="C136" s="159"/>
      <c r="D136" s="159"/>
      <c r="E136" s="159"/>
      <c r="F136" s="159"/>
      <c r="G136" s="159"/>
      <c r="H136" s="159"/>
      <c r="I136" s="159"/>
      <c r="J136" s="19"/>
      <c r="K136" s="19"/>
      <c r="L136" s="19"/>
      <c r="M136" s="182"/>
      <c r="N136" s="182"/>
      <c r="O136" s="182"/>
      <c r="P136" s="183" t="n">
        <f aca="false">J136*M136</f>
        <v>0</v>
      </c>
      <c r="Q136" s="183"/>
      <c r="R136" s="183"/>
      <c r="S136" s="178"/>
      <c r="T136" s="163"/>
      <c r="U136" s="163"/>
      <c r="V136" s="163"/>
      <c r="W136" s="163"/>
      <c r="X136" s="163"/>
      <c r="Y136" s="163"/>
      <c r="Z136" s="163"/>
      <c r="AA136" s="163"/>
      <c r="AB136" s="163"/>
      <c r="AC136" s="163"/>
      <c r="AD136" s="163"/>
      <c r="AE136" s="19"/>
      <c r="AF136" s="19"/>
      <c r="AG136" s="19"/>
      <c r="AH136" s="182"/>
      <c r="AI136" s="182"/>
      <c r="AJ136" s="182"/>
      <c r="AK136" s="182"/>
      <c r="AL136" s="183" t="n">
        <f aca="false">AE136*AH136</f>
        <v>0</v>
      </c>
      <c r="AM136" s="183"/>
      <c r="AN136" s="183"/>
      <c r="AO136" s="183"/>
    </row>
    <row r="137" customFormat="false" ht="10.5" hidden="false" customHeight="true" outlineLevel="0" collapsed="false">
      <c r="A137" s="159"/>
      <c r="B137" s="159"/>
      <c r="C137" s="159"/>
      <c r="D137" s="159"/>
      <c r="E137" s="159"/>
      <c r="F137" s="159"/>
      <c r="G137" s="159"/>
      <c r="H137" s="159"/>
      <c r="I137" s="159"/>
      <c r="J137" s="19"/>
      <c r="K137" s="19"/>
      <c r="L137" s="19"/>
      <c r="M137" s="182"/>
      <c r="N137" s="182"/>
      <c r="O137" s="182"/>
      <c r="P137" s="183" t="n">
        <f aca="false">J137*M137</f>
        <v>0</v>
      </c>
      <c r="Q137" s="183"/>
      <c r="R137" s="183"/>
      <c r="S137" s="178"/>
      <c r="T137" s="163"/>
      <c r="U137" s="163"/>
      <c r="V137" s="163"/>
      <c r="W137" s="163"/>
      <c r="X137" s="163"/>
      <c r="Y137" s="163"/>
      <c r="Z137" s="163"/>
      <c r="AA137" s="163"/>
      <c r="AB137" s="163"/>
      <c r="AC137" s="163"/>
      <c r="AD137" s="163"/>
      <c r="AE137" s="19"/>
      <c r="AF137" s="19"/>
      <c r="AG137" s="19"/>
      <c r="AH137" s="182"/>
      <c r="AI137" s="182"/>
      <c r="AJ137" s="182"/>
      <c r="AK137" s="182"/>
      <c r="AL137" s="183" t="n">
        <f aca="false">AE137*AH137</f>
        <v>0</v>
      </c>
      <c r="AM137" s="183"/>
      <c r="AN137" s="183"/>
      <c r="AO137" s="183"/>
    </row>
    <row r="138" customFormat="false" ht="10.5" hidden="false" customHeight="true" outlineLevel="0" collapsed="false">
      <c r="A138" s="159"/>
      <c r="B138" s="159"/>
      <c r="C138" s="159"/>
      <c r="D138" s="159"/>
      <c r="E138" s="159"/>
      <c r="F138" s="159"/>
      <c r="G138" s="159"/>
      <c r="H138" s="159"/>
      <c r="I138" s="159"/>
      <c r="J138" s="19"/>
      <c r="K138" s="19"/>
      <c r="L138" s="19"/>
      <c r="M138" s="182"/>
      <c r="N138" s="182"/>
      <c r="O138" s="182"/>
      <c r="P138" s="183" t="n">
        <f aca="false">J138*M138</f>
        <v>0</v>
      </c>
      <c r="Q138" s="183"/>
      <c r="R138" s="183"/>
      <c r="S138" s="178"/>
      <c r="T138" s="163"/>
      <c r="U138" s="163"/>
      <c r="V138" s="163"/>
      <c r="W138" s="163"/>
      <c r="X138" s="163"/>
      <c r="Y138" s="163"/>
      <c r="Z138" s="163"/>
      <c r="AA138" s="163"/>
      <c r="AB138" s="163"/>
      <c r="AC138" s="163"/>
      <c r="AD138" s="163"/>
      <c r="AE138" s="19"/>
      <c r="AF138" s="19"/>
      <c r="AG138" s="19"/>
      <c r="AH138" s="182"/>
      <c r="AI138" s="182"/>
      <c r="AJ138" s="182"/>
      <c r="AK138" s="182"/>
      <c r="AL138" s="183" t="n">
        <f aca="false">AE138*AH138</f>
        <v>0</v>
      </c>
      <c r="AM138" s="183"/>
      <c r="AN138" s="183"/>
      <c r="AO138" s="183"/>
    </row>
    <row r="139" customFormat="false" ht="10.5" hidden="false" customHeight="true" outlineLevel="0" collapsed="false">
      <c r="A139" s="159"/>
      <c r="B139" s="159"/>
      <c r="C139" s="159"/>
      <c r="D139" s="159"/>
      <c r="E139" s="159"/>
      <c r="F139" s="159"/>
      <c r="G139" s="159"/>
      <c r="H139" s="159"/>
      <c r="I139" s="159"/>
      <c r="J139" s="19"/>
      <c r="K139" s="19"/>
      <c r="L139" s="19"/>
      <c r="M139" s="182"/>
      <c r="N139" s="182"/>
      <c r="O139" s="182"/>
      <c r="P139" s="183" t="n">
        <f aca="false">J139*M139</f>
        <v>0</v>
      </c>
      <c r="Q139" s="183"/>
      <c r="R139" s="183"/>
      <c r="S139" s="178"/>
      <c r="T139" s="163"/>
      <c r="U139" s="163"/>
      <c r="V139" s="163"/>
      <c r="W139" s="163"/>
      <c r="X139" s="163"/>
      <c r="Y139" s="163"/>
      <c r="Z139" s="163"/>
      <c r="AA139" s="163"/>
      <c r="AB139" s="163"/>
      <c r="AC139" s="163"/>
      <c r="AD139" s="163"/>
      <c r="AE139" s="19"/>
      <c r="AF139" s="19"/>
      <c r="AG139" s="19"/>
      <c r="AH139" s="182"/>
      <c r="AI139" s="182"/>
      <c r="AJ139" s="182"/>
      <c r="AK139" s="182"/>
      <c r="AL139" s="183" t="n">
        <f aca="false">AE139*AH139</f>
        <v>0</v>
      </c>
      <c r="AM139" s="183"/>
      <c r="AN139" s="183"/>
      <c r="AO139" s="183"/>
    </row>
    <row r="140" customFormat="false" ht="10.5" hidden="false" customHeight="true" outlineLevel="0" collapsed="false">
      <c r="A140" s="159"/>
      <c r="B140" s="159"/>
      <c r="C140" s="159"/>
      <c r="D140" s="159"/>
      <c r="E140" s="159"/>
      <c r="F140" s="159"/>
      <c r="G140" s="159"/>
      <c r="H140" s="159"/>
      <c r="I140" s="159"/>
      <c r="J140" s="19"/>
      <c r="K140" s="19"/>
      <c r="L140" s="19"/>
      <c r="M140" s="182"/>
      <c r="N140" s="182"/>
      <c r="O140" s="182"/>
      <c r="P140" s="183" t="n">
        <f aca="false">J140*M140</f>
        <v>0</v>
      </c>
      <c r="Q140" s="183"/>
      <c r="R140" s="183"/>
      <c r="S140" s="178"/>
      <c r="T140" s="163"/>
      <c r="U140" s="163"/>
      <c r="V140" s="163"/>
      <c r="W140" s="163"/>
      <c r="X140" s="163"/>
      <c r="Y140" s="163"/>
      <c r="Z140" s="163"/>
      <c r="AA140" s="163"/>
      <c r="AB140" s="163"/>
      <c r="AC140" s="163"/>
      <c r="AD140" s="163"/>
      <c r="AE140" s="19"/>
      <c r="AF140" s="19"/>
      <c r="AG140" s="19"/>
      <c r="AH140" s="182"/>
      <c r="AI140" s="182"/>
      <c r="AJ140" s="182"/>
      <c r="AK140" s="182"/>
      <c r="AL140" s="183" t="n">
        <f aca="false">AE140*AH140</f>
        <v>0</v>
      </c>
      <c r="AM140" s="183"/>
      <c r="AN140" s="183"/>
      <c r="AO140" s="183"/>
    </row>
    <row r="141" customFormat="false" ht="10.5" hidden="false" customHeight="true" outlineLevel="0" collapsed="false">
      <c r="A141" s="159"/>
      <c r="B141" s="159"/>
      <c r="C141" s="159"/>
      <c r="D141" s="159"/>
      <c r="E141" s="159"/>
      <c r="F141" s="159"/>
      <c r="G141" s="159"/>
      <c r="H141" s="159"/>
      <c r="I141" s="159"/>
      <c r="J141" s="19"/>
      <c r="K141" s="19"/>
      <c r="L141" s="19"/>
      <c r="M141" s="182"/>
      <c r="N141" s="182"/>
      <c r="O141" s="182"/>
      <c r="P141" s="184" t="n">
        <f aca="false">J141*M141</f>
        <v>0</v>
      </c>
      <c r="Q141" s="184"/>
      <c r="R141" s="184"/>
      <c r="S141" s="178"/>
      <c r="T141" s="163"/>
      <c r="U141" s="163"/>
      <c r="V141" s="163"/>
      <c r="W141" s="163"/>
      <c r="X141" s="163"/>
      <c r="Y141" s="163"/>
      <c r="Z141" s="163"/>
      <c r="AA141" s="163"/>
      <c r="AB141" s="163"/>
      <c r="AC141" s="163"/>
      <c r="AD141" s="163"/>
      <c r="AE141" s="19"/>
      <c r="AF141" s="19"/>
      <c r="AG141" s="19"/>
      <c r="AH141" s="182"/>
      <c r="AI141" s="182"/>
      <c r="AJ141" s="182"/>
      <c r="AK141" s="182"/>
      <c r="AL141" s="183" t="n">
        <f aca="false">AE141*AH141</f>
        <v>0</v>
      </c>
      <c r="AM141" s="183"/>
      <c r="AN141" s="183"/>
      <c r="AO141" s="183"/>
    </row>
    <row r="142" customFormat="false" ht="10.5" hidden="false" customHeight="true" outlineLevel="0" collapsed="false">
      <c r="A142" s="185" t="s">
        <v>257</v>
      </c>
      <c r="B142" s="185"/>
      <c r="C142" s="185"/>
      <c r="D142" s="185"/>
      <c r="E142" s="185"/>
      <c r="F142" s="185"/>
      <c r="G142" s="185"/>
      <c r="H142" s="185"/>
      <c r="I142" s="185"/>
      <c r="J142" s="185"/>
      <c r="K142" s="185"/>
      <c r="L142" s="185"/>
      <c r="M142" s="185"/>
      <c r="N142" s="185"/>
      <c r="O142" s="185"/>
      <c r="P142" s="186" t="n">
        <f aca="false">SUM(P134:R141)</f>
        <v>0</v>
      </c>
      <c r="Q142" s="186"/>
      <c r="R142" s="186"/>
      <c r="S142" s="178"/>
      <c r="T142" s="187" t="s">
        <v>257</v>
      </c>
      <c r="U142" s="187"/>
      <c r="V142" s="187"/>
      <c r="W142" s="187"/>
      <c r="X142" s="187"/>
      <c r="Y142" s="187"/>
      <c r="Z142" s="187"/>
      <c r="AA142" s="187"/>
      <c r="AB142" s="187"/>
      <c r="AC142" s="187"/>
      <c r="AD142" s="187"/>
      <c r="AE142" s="187"/>
      <c r="AF142" s="187"/>
      <c r="AG142" s="187"/>
      <c r="AH142" s="187"/>
      <c r="AI142" s="187"/>
      <c r="AJ142" s="187"/>
      <c r="AK142" s="187"/>
      <c r="AL142" s="183" t="n">
        <f aca="false">SUM(AL134:AO141)</f>
        <v>0</v>
      </c>
      <c r="AM142" s="183"/>
      <c r="AN142" s="183"/>
      <c r="AO142" s="183"/>
    </row>
    <row r="143" s="190" customFormat="true" ht="10.5" hidden="false" customHeight="true" outlineLevel="0" collapsed="false">
      <c r="A143" s="78" t="s">
        <v>258</v>
      </c>
      <c r="B143" s="78"/>
      <c r="C143" s="78"/>
      <c r="D143" s="78"/>
      <c r="E143" s="78"/>
      <c r="F143" s="78"/>
      <c r="G143" s="78"/>
      <c r="H143" s="78"/>
      <c r="I143" s="78"/>
      <c r="J143" s="188"/>
      <c r="K143" s="188"/>
      <c r="L143" s="188"/>
      <c r="M143" s="79" t="s">
        <v>255</v>
      </c>
      <c r="N143" s="79"/>
      <c r="O143" s="79"/>
      <c r="P143" s="189" t="str">
        <f aca="false">IFERROR(P142/J143, "-")</f>
        <v>-</v>
      </c>
      <c r="Q143" s="189"/>
      <c r="R143" s="189"/>
      <c r="S143" s="178"/>
      <c r="T143" s="78" t="s">
        <v>258</v>
      </c>
      <c r="U143" s="78"/>
      <c r="V143" s="78"/>
      <c r="W143" s="78"/>
      <c r="X143" s="78"/>
      <c r="Y143" s="78"/>
      <c r="Z143" s="78"/>
      <c r="AA143" s="78"/>
      <c r="AB143" s="78"/>
      <c r="AC143" s="78"/>
      <c r="AD143" s="78"/>
      <c r="AE143" s="188"/>
      <c r="AF143" s="188"/>
      <c r="AG143" s="188"/>
      <c r="AH143" s="79" t="s">
        <v>255</v>
      </c>
      <c r="AI143" s="79"/>
      <c r="AJ143" s="79"/>
      <c r="AK143" s="79"/>
      <c r="AL143" s="183" t="str">
        <f aca="false">IFERROR(AL142/AE143,"-")</f>
        <v>-</v>
      </c>
      <c r="AM143" s="183"/>
      <c r="AN143" s="183"/>
      <c r="AO143" s="183"/>
      <c r="AP143" s="10"/>
      <c r="AQ143" s="10"/>
      <c r="AR143" s="10"/>
      <c r="AS143" s="10"/>
      <c r="AT143" s="10"/>
      <c r="AU143" s="10"/>
      <c r="AV143" s="10"/>
      <c r="AW143" s="10"/>
      <c r="AX143" s="10"/>
      <c r="AY143" s="10"/>
      <c r="AZ143" s="10"/>
      <c r="BA143" s="10"/>
      <c r="BB143" s="10"/>
      <c r="BC143" s="10"/>
    </row>
    <row r="144" s="190" customFormat="true" ht="10.5" hidden="false" customHeight="true" outlineLevel="0" collapsed="false">
      <c r="A144" s="96" t="s">
        <v>259</v>
      </c>
      <c r="B144" s="96"/>
      <c r="C144" s="96"/>
      <c r="D144" s="96"/>
      <c r="E144" s="96"/>
      <c r="F144" s="96"/>
      <c r="G144" s="96"/>
      <c r="H144" s="96"/>
      <c r="I144" s="96"/>
      <c r="J144" s="188"/>
      <c r="K144" s="188"/>
      <c r="L144" s="188"/>
      <c r="M144" s="79" t="s">
        <v>260</v>
      </c>
      <c r="N144" s="79"/>
      <c r="O144" s="79"/>
      <c r="P144" s="191"/>
      <c r="Q144" s="191"/>
      <c r="R144" s="191"/>
      <c r="S144" s="178"/>
      <c r="T144" s="78" t="s">
        <v>259</v>
      </c>
      <c r="U144" s="78"/>
      <c r="V144" s="78"/>
      <c r="W144" s="78"/>
      <c r="X144" s="78"/>
      <c r="Y144" s="78"/>
      <c r="Z144" s="78"/>
      <c r="AA144" s="78"/>
      <c r="AB144" s="78"/>
      <c r="AC144" s="78"/>
      <c r="AD144" s="78"/>
      <c r="AE144" s="188"/>
      <c r="AF144" s="188"/>
      <c r="AG144" s="188"/>
      <c r="AH144" s="79" t="s">
        <v>260</v>
      </c>
      <c r="AI144" s="79"/>
      <c r="AJ144" s="79"/>
      <c r="AK144" s="79"/>
      <c r="AL144" s="192"/>
      <c r="AM144" s="192"/>
      <c r="AN144" s="192"/>
      <c r="AO144" s="192"/>
      <c r="AP144" s="10"/>
      <c r="AQ144" s="10"/>
      <c r="AR144" s="10"/>
      <c r="AS144" s="10"/>
      <c r="AT144" s="10"/>
      <c r="AU144" s="10"/>
      <c r="AV144" s="10"/>
      <c r="AW144" s="10"/>
      <c r="AX144" s="10"/>
      <c r="AY144" s="10"/>
      <c r="AZ144" s="10"/>
      <c r="BA144" s="10"/>
      <c r="BB144" s="10"/>
      <c r="BC144" s="10"/>
    </row>
    <row r="145" s="190" customFormat="true" ht="2.25" hidden="false" customHeight="true" outlineLevel="0" collapsed="false">
      <c r="A145" s="33"/>
      <c r="B145" s="10"/>
      <c r="C145" s="10"/>
      <c r="D145" s="10"/>
      <c r="E145" s="193"/>
      <c r="F145" s="193"/>
      <c r="G145" s="193"/>
      <c r="H145" s="10"/>
      <c r="I145" s="194"/>
      <c r="J145" s="193"/>
      <c r="K145" s="193"/>
      <c r="L145" s="193"/>
      <c r="M145" s="194"/>
      <c r="N145" s="194"/>
      <c r="O145" s="195"/>
      <c r="P145" s="196"/>
      <c r="Q145" s="196"/>
      <c r="R145" s="196"/>
      <c r="S145" s="178"/>
      <c r="T145" s="10"/>
      <c r="U145" s="10"/>
      <c r="V145" s="10"/>
      <c r="W145" s="10"/>
      <c r="X145" s="10"/>
      <c r="Y145" s="10"/>
      <c r="Z145" s="10"/>
      <c r="AA145" s="10"/>
      <c r="AB145" s="10"/>
      <c r="AC145" s="10"/>
      <c r="AD145" s="10"/>
      <c r="AE145" s="10"/>
      <c r="AF145" s="10"/>
      <c r="AG145" s="10"/>
      <c r="AH145" s="10"/>
      <c r="AI145" s="10"/>
      <c r="AJ145" s="10"/>
      <c r="AK145" s="10"/>
      <c r="AL145" s="196"/>
      <c r="AM145" s="196"/>
      <c r="AN145" s="196"/>
      <c r="AO145" s="196"/>
      <c r="AP145" s="10"/>
      <c r="AQ145" s="10"/>
      <c r="AR145" s="10"/>
      <c r="AS145" s="10"/>
      <c r="AT145" s="10"/>
      <c r="AU145" s="10"/>
      <c r="AV145" s="10"/>
      <c r="AW145" s="10"/>
      <c r="AX145" s="10"/>
      <c r="AY145" s="10"/>
      <c r="AZ145" s="10"/>
      <c r="BA145" s="10"/>
      <c r="BB145" s="10"/>
      <c r="BC145" s="10"/>
    </row>
    <row r="146" s="190" customFormat="true" ht="10.5" hidden="false" customHeight="true" outlineLevel="0" collapsed="false">
      <c r="A146" s="197"/>
      <c r="B146" s="198" t="s">
        <v>261</v>
      </c>
      <c r="C146" s="198"/>
      <c r="D146" s="198"/>
      <c r="E146" s="199" t="n">
        <f aca="false">J144*P144</f>
        <v>0</v>
      </c>
      <c r="F146" s="199"/>
      <c r="G146" s="199"/>
      <c r="H146" s="200" t="s">
        <v>262</v>
      </c>
      <c r="I146" s="200"/>
      <c r="J146" s="199" t="str">
        <f aca="false">IFERROR(J143*P143, "-")</f>
        <v>-</v>
      </c>
      <c r="K146" s="199"/>
      <c r="L146" s="199"/>
      <c r="M146" s="201" t="s">
        <v>263</v>
      </c>
      <c r="N146" s="201"/>
      <c r="O146" s="201"/>
      <c r="P146" s="202" t="str">
        <f aca="false">IFERROR(E146-J146,"-")</f>
        <v>-</v>
      </c>
      <c r="Q146" s="202"/>
      <c r="R146" s="202"/>
      <c r="S146" s="178"/>
      <c r="T146" s="203"/>
      <c r="U146" s="203"/>
      <c r="V146" s="203"/>
      <c r="W146" s="198" t="s">
        <v>261</v>
      </c>
      <c r="X146" s="198"/>
      <c r="Y146" s="198"/>
      <c r="Z146" s="199" t="n">
        <f aca="false">AE144*AL144</f>
        <v>0</v>
      </c>
      <c r="AA146" s="199"/>
      <c r="AB146" s="199"/>
      <c r="AC146" s="200" t="s">
        <v>262</v>
      </c>
      <c r="AD146" s="200"/>
      <c r="AE146" s="199" t="str">
        <f aca="false">IFERROR(AE143*AL143, "-")</f>
        <v>-</v>
      </c>
      <c r="AF146" s="199"/>
      <c r="AG146" s="199"/>
      <c r="AH146" s="201" t="s">
        <v>263</v>
      </c>
      <c r="AI146" s="201"/>
      <c r="AJ146" s="201"/>
      <c r="AK146" s="201"/>
      <c r="AL146" s="202" t="str">
        <f aca="false">IFERROR(Z146-AE146, "-")</f>
        <v>-</v>
      </c>
      <c r="AM146" s="202"/>
      <c r="AN146" s="202"/>
      <c r="AO146" s="202"/>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5"/>
      <c r="C147" s="125"/>
      <c r="D147" s="125"/>
      <c r="E147" s="204"/>
      <c r="F147" s="204"/>
      <c r="G147" s="204"/>
      <c r="H147" s="125"/>
      <c r="I147" s="125"/>
      <c r="J147" s="204"/>
      <c r="K147" s="204"/>
      <c r="L147" s="204"/>
      <c r="M147" s="125"/>
      <c r="N147" s="125"/>
      <c r="O147" s="125"/>
      <c r="P147" s="204"/>
      <c r="Q147" s="203"/>
      <c r="R147" s="203"/>
      <c r="S147" s="203"/>
      <c r="T147" s="46"/>
      <c r="U147" s="46"/>
      <c r="V147" s="125"/>
      <c r="W147" s="125"/>
      <c r="X147" s="125"/>
      <c r="Y147" s="204"/>
      <c r="Z147" s="204"/>
      <c r="AA147" s="204"/>
      <c r="AB147" s="125"/>
      <c r="AC147" s="125"/>
      <c r="AD147" s="204"/>
      <c r="AE147" s="204"/>
      <c r="AF147" s="204"/>
      <c r="AG147" s="125"/>
      <c r="AH147" s="125"/>
      <c r="AI147" s="125"/>
      <c r="AJ147" s="204"/>
      <c r="AK147" s="203"/>
      <c r="AL147" s="203"/>
      <c r="AM147" s="203"/>
      <c r="AN147" s="203"/>
      <c r="AO147" s="205"/>
    </row>
    <row r="148" customFormat="false" ht="12" hidden="false" customHeight="true" outlineLevel="0" collapsed="false">
      <c r="A148" s="48" t="s">
        <v>264</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row>
    <row r="149" customFormat="false" ht="2.25" hidden="false" customHeight="true" outlineLevel="0" collapsed="false"/>
    <row r="150" customFormat="false" ht="10.5" hidden="false" customHeight="true" outlineLevel="0" collapsed="false">
      <c r="A150" s="206" t="s">
        <v>265</v>
      </c>
      <c r="B150" s="206"/>
      <c r="C150" s="207"/>
      <c r="D150" s="207"/>
      <c r="E150" s="207"/>
      <c r="F150" s="207"/>
      <c r="G150" s="207"/>
      <c r="H150" s="207"/>
      <c r="I150" s="207"/>
      <c r="J150" s="207"/>
      <c r="K150" s="208" t="s">
        <v>266</v>
      </c>
      <c r="L150" s="208"/>
      <c r="M150" s="208"/>
      <c r="N150" s="207"/>
      <c r="O150" s="207"/>
      <c r="P150" s="208" t="s">
        <v>267</v>
      </c>
      <c r="Q150" s="208"/>
      <c r="R150" s="207"/>
      <c r="S150" s="207"/>
      <c r="T150" s="207"/>
      <c r="U150" s="208" t="s">
        <v>268</v>
      </c>
      <c r="V150" s="208"/>
      <c r="W150" s="207"/>
      <c r="X150" s="207"/>
      <c r="Y150" s="207"/>
      <c r="Z150" s="207"/>
      <c r="AA150" s="208" t="s">
        <v>269</v>
      </c>
      <c r="AB150" s="208"/>
      <c r="AC150" s="207"/>
      <c r="AD150" s="207"/>
      <c r="AE150" s="208" t="s">
        <v>270</v>
      </c>
      <c r="AF150" s="208"/>
      <c r="AG150" s="208"/>
      <c r="AH150" s="208"/>
      <c r="AI150" s="208"/>
      <c r="AJ150" s="208"/>
      <c r="AK150" s="209"/>
      <c r="AL150" s="209"/>
      <c r="AM150" s="210"/>
      <c r="AN150" s="210"/>
      <c r="AO150" s="210"/>
    </row>
    <row r="151" customFormat="false" ht="2.25" hidden="false" customHeight="true" outlineLevel="0" collapsed="false">
      <c r="A151" s="38"/>
      <c r="C151" s="211"/>
      <c r="D151" s="211"/>
      <c r="E151" s="211"/>
      <c r="F151" s="211"/>
      <c r="G151" s="211"/>
      <c r="H151" s="211"/>
      <c r="I151" s="211"/>
      <c r="J151" s="211"/>
      <c r="AK151" s="211"/>
      <c r="AO151" s="40"/>
    </row>
    <row r="152" customFormat="false" ht="10.5" hidden="false" customHeight="true" outlineLevel="0" collapsed="false">
      <c r="A152" s="96" t="s">
        <v>271</v>
      </c>
      <c r="B152" s="96"/>
      <c r="C152" s="96"/>
      <c r="D152" s="96"/>
      <c r="E152" s="96"/>
      <c r="F152" s="96"/>
      <c r="G152" s="96"/>
      <c r="H152" s="96"/>
      <c r="I152" s="96"/>
      <c r="J152" s="96"/>
      <c r="K152" s="96"/>
      <c r="L152" s="96"/>
      <c r="M152" s="96"/>
      <c r="N152" s="78" t="s">
        <v>272</v>
      </c>
      <c r="O152" s="78"/>
      <c r="P152" s="78"/>
      <c r="Q152" s="78"/>
      <c r="R152" s="78"/>
      <c r="S152" s="78" t="s">
        <v>273</v>
      </c>
      <c r="T152" s="78"/>
      <c r="U152" s="78"/>
      <c r="V152" s="78"/>
      <c r="W152" s="78"/>
      <c r="X152" s="78" t="s">
        <v>274</v>
      </c>
      <c r="Y152" s="78"/>
      <c r="Z152" s="78"/>
      <c r="AA152" s="78"/>
      <c r="AB152" s="78"/>
      <c r="AC152" s="78" t="s">
        <v>275</v>
      </c>
      <c r="AD152" s="78"/>
      <c r="AE152" s="78"/>
      <c r="AF152" s="78"/>
      <c r="AG152" s="78"/>
      <c r="AH152" s="79" t="s">
        <v>276</v>
      </c>
      <c r="AI152" s="79"/>
      <c r="AJ152" s="79"/>
      <c r="AK152" s="79"/>
      <c r="AL152" s="79"/>
      <c r="AM152" s="79"/>
      <c r="AN152" s="79"/>
      <c r="AO152" s="79"/>
    </row>
    <row r="153" customFormat="false" ht="10.5" hidden="false" customHeight="true" outlineLevel="0" collapsed="false">
      <c r="A153" s="159"/>
      <c r="B153" s="159"/>
      <c r="C153" s="159"/>
      <c r="D153" s="159"/>
      <c r="E153" s="159"/>
      <c r="F153" s="159"/>
      <c r="G153" s="159"/>
      <c r="H153" s="159"/>
      <c r="I153" s="159"/>
      <c r="J153" s="159"/>
      <c r="K153" s="159"/>
      <c r="L153" s="159"/>
      <c r="M153" s="159"/>
      <c r="N153" s="19"/>
      <c r="O153" s="19"/>
      <c r="P153" s="19"/>
      <c r="Q153" s="19"/>
      <c r="R153" s="19"/>
      <c r="S153" s="182"/>
      <c r="T153" s="182"/>
      <c r="U153" s="182"/>
      <c r="V153" s="182"/>
      <c r="W153" s="182"/>
      <c r="X153" s="212"/>
      <c r="Y153" s="212"/>
      <c r="Z153" s="212"/>
      <c r="AA153" s="212"/>
      <c r="AB153" s="212"/>
      <c r="AC153" s="19"/>
      <c r="AD153" s="19"/>
      <c r="AE153" s="19"/>
      <c r="AF153" s="19"/>
      <c r="AG153" s="19"/>
      <c r="AH153" s="137" t="n">
        <f aca="false">S153*X153*AC153</f>
        <v>0</v>
      </c>
      <c r="AI153" s="137"/>
      <c r="AJ153" s="137"/>
      <c r="AK153" s="137"/>
      <c r="AL153" s="137"/>
      <c r="AM153" s="137"/>
      <c r="AN153" s="137"/>
      <c r="AO153" s="137"/>
    </row>
    <row r="154" customFormat="false" ht="10.5" hidden="false" customHeight="true" outlineLevel="0" collapsed="false">
      <c r="A154" s="159"/>
      <c r="B154" s="159"/>
      <c r="C154" s="159"/>
      <c r="D154" s="159"/>
      <c r="E154" s="159"/>
      <c r="F154" s="159"/>
      <c r="G154" s="159"/>
      <c r="H154" s="159"/>
      <c r="I154" s="159"/>
      <c r="J154" s="159"/>
      <c r="K154" s="159"/>
      <c r="L154" s="159"/>
      <c r="M154" s="159"/>
      <c r="N154" s="19"/>
      <c r="O154" s="19"/>
      <c r="P154" s="19"/>
      <c r="Q154" s="19"/>
      <c r="R154" s="19"/>
      <c r="S154" s="182"/>
      <c r="T154" s="182"/>
      <c r="U154" s="182"/>
      <c r="V154" s="182"/>
      <c r="W154" s="182"/>
      <c r="X154" s="212"/>
      <c r="Y154" s="212"/>
      <c r="Z154" s="212"/>
      <c r="AA154" s="212"/>
      <c r="AB154" s="212"/>
      <c r="AC154" s="19"/>
      <c r="AD154" s="19"/>
      <c r="AE154" s="19"/>
      <c r="AF154" s="19"/>
      <c r="AG154" s="19"/>
      <c r="AH154" s="137" t="n">
        <f aca="false">S154*X154*AC154</f>
        <v>0</v>
      </c>
      <c r="AI154" s="137"/>
      <c r="AJ154" s="137"/>
      <c r="AK154" s="137"/>
      <c r="AL154" s="137"/>
      <c r="AM154" s="137"/>
      <c r="AN154" s="137"/>
      <c r="AO154" s="137"/>
    </row>
    <row r="155" customFormat="false" ht="10.5" hidden="false" customHeight="true" outlineLevel="0" collapsed="false">
      <c r="A155" s="159"/>
      <c r="B155" s="159"/>
      <c r="C155" s="159"/>
      <c r="D155" s="159"/>
      <c r="E155" s="159"/>
      <c r="F155" s="159"/>
      <c r="G155" s="159"/>
      <c r="H155" s="159"/>
      <c r="I155" s="159"/>
      <c r="J155" s="159"/>
      <c r="K155" s="159"/>
      <c r="L155" s="159"/>
      <c r="M155" s="159"/>
      <c r="N155" s="19"/>
      <c r="O155" s="19"/>
      <c r="P155" s="19"/>
      <c r="Q155" s="19"/>
      <c r="R155" s="19"/>
      <c r="S155" s="182"/>
      <c r="T155" s="182"/>
      <c r="U155" s="182"/>
      <c r="V155" s="182"/>
      <c r="W155" s="182"/>
      <c r="X155" s="212"/>
      <c r="Y155" s="212"/>
      <c r="Z155" s="212"/>
      <c r="AA155" s="212"/>
      <c r="AB155" s="212"/>
      <c r="AC155" s="19"/>
      <c r="AD155" s="19"/>
      <c r="AE155" s="19"/>
      <c r="AF155" s="19"/>
      <c r="AG155" s="19"/>
      <c r="AH155" s="137" t="n">
        <f aca="false">S155*X155*AC155</f>
        <v>0</v>
      </c>
      <c r="AI155" s="137"/>
      <c r="AJ155" s="137"/>
      <c r="AK155" s="137"/>
      <c r="AL155" s="137"/>
      <c r="AM155" s="137"/>
      <c r="AN155" s="137"/>
      <c r="AO155" s="137"/>
      <c r="AW155" s="2" t="s">
        <v>170</v>
      </c>
    </row>
    <row r="156" customFormat="false" ht="10.5" hidden="false" customHeight="true" outlineLevel="0" collapsed="false">
      <c r="A156" s="159"/>
      <c r="B156" s="159"/>
      <c r="C156" s="159"/>
      <c r="D156" s="159"/>
      <c r="E156" s="159"/>
      <c r="F156" s="159"/>
      <c r="G156" s="159"/>
      <c r="H156" s="159"/>
      <c r="I156" s="159"/>
      <c r="J156" s="159"/>
      <c r="K156" s="159"/>
      <c r="L156" s="159"/>
      <c r="M156" s="159"/>
      <c r="N156" s="19"/>
      <c r="O156" s="19"/>
      <c r="P156" s="19"/>
      <c r="Q156" s="19"/>
      <c r="R156" s="19"/>
      <c r="S156" s="182"/>
      <c r="T156" s="182"/>
      <c r="U156" s="182"/>
      <c r="V156" s="182"/>
      <c r="W156" s="182"/>
      <c r="X156" s="212"/>
      <c r="Y156" s="212"/>
      <c r="Z156" s="212"/>
      <c r="AA156" s="212"/>
      <c r="AB156" s="212"/>
      <c r="AC156" s="19"/>
      <c r="AD156" s="19"/>
      <c r="AE156" s="19"/>
      <c r="AF156" s="19"/>
      <c r="AG156" s="19"/>
      <c r="AH156" s="137" t="n">
        <f aca="false">S156*X156*AC156</f>
        <v>0</v>
      </c>
      <c r="AI156" s="137"/>
      <c r="AJ156" s="137"/>
      <c r="AK156" s="137"/>
      <c r="AL156" s="137"/>
      <c r="AM156" s="137"/>
      <c r="AN156" s="137"/>
      <c r="AO156" s="137"/>
    </row>
    <row r="157" customFormat="false" ht="10.5" hidden="false" customHeight="true" outlineLevel="0" collapsed="false">
      <c r="A157" s="159"/>
      <c r="B157" s="159"/>
      <c r="C157" s="159"/>
      <c r="D157" s="159"/>
      <c r="E157" s="159"/>
      <c r="F157" s="159"/>
      <c r="G157" s="159"/>
      <c r="H157" s="159"/>
      <c r="I157" s="159"/>
      <c r="J157" s="159"/>
      <c r="K157" s="159"/>
      <c r="L157" s="159"/>
      <c r="M157" s="159"/>
      <c r="N157" s="19"/>
      <c r="O157" s="19"/>
      <c r="P157" s="19"/>
      <c r="Q157" s="19"/>
      <c r="R157" s="19"/>
      <c r="S157" s="182"/>
      <c r="T157" s="182"/>
      <c r="U157" s="182"/>
      <c r="V157" s="182"/>
      <c r="W157" s="182"/>
      <c r="X157" s="212"/>
      <c r="Y157" s="212"/>
      <c r="Z157" s="212"/>
      <c r="AA157" s="212"/>
      <c r="AB157" s="212"/>
      <c r="AC157" s="19"/>
      <c r="AD157" s="19"/>
      <c r="AE157" s="19"/>
      <c r="AF157" s="19"/>
      <c r="AG157" s="19"/>
      <c r="AH157" s="137" t="n">
        <f aca="false">S157*X157*AC157</f>
        <v>0</v>
      </c>
      <c r="AI157" s="137"/>
      <c r="AJ157" s="137"/>
      <c r="AK157" s="137"/>
      <c r="AL157" s="137"/>
      <c r="AM157" s="137"/>
      <c r="AN157" s="137"/>
      <c r="AO157" s="137"/>
    </row>
    <row r="158" customFormat="false" ht="10.5" hidden="false" customHeight="true" outlineLevel="0" collapsed="false">
      <c r="A158" s="166"/>
      <c r="B158" s="166"/>
      <c r="C158" s="166"/>
      <c r="D158" s="166"/>
      <c r="E158" s="166"/>
      <c r="F158" s="166"/>
      <c r="G158" s="166"/>
      <c r="H158" s="166"/>
      <c r="I158" s="166"/>
      <c r="J158" s="166"/>
      <c r="K158" s="166"/>
      <c r="L158" s="166"/>
      <c r="M158" s="166"/>
      <c r="N158" s="68"/>
      <c r="O158" s="68"/>
      <c r="P158" s="68"/>
      <c r="Q158" s="68"/>
      <c r="R158" s="68"/>
      <c r="S158" s="182"/>
      <c r="T158" s="182"/>
      <c r="U158" s="182"/>
      <c r="V158" s="182"/>
      <c r="W158" s="182"/>
      <c r="X158" s="213"/>
      <c r="Y158" s="213"/>
      <c r="Z158" s="213"/>
      <c r="AA158" s="213"/>
      <c r="AB158" s="213"/>
      <c r="AC158" s="68"/>
      <c r="AD158" s="68"/>
      <c r="AE158" s="68"/>
      <c r="AF158" s="68"/>
      <c r="AG158" s="68"/>
      <c r="AH158" s="137" t="n">
        <f aca="false">S158*X158*AC158</f>
        <v>0</v>
      </c>
      <c r="AI158" s="137"/>
      <c r="AJ158" s="137"/>
      <c r="AK158" s="137"/>
      <c r="AL158" s="137"/>
      <c r="AM158" s="137"/>
      <c r="AN158" s="137"/>
      <c r="AO158" s="137"/>
    </row>
    <row r="159" customFormat="false" ht="2.25" hidden="false" customHeight="true" outlineLevel="0" collapsed="false"/>
    <row r="160" customFormat="false" ht="10.5" hidden="false" customHeight="true" outlineLevel="0" collapsed="false">
      <c r="A160" s="131" t="s">
        <v>277</v>
      </c>
      <c r="B160" s="131"/>
      <c r="C160" s="131"/>
      <c r="D160" s="131"/>
      <c r="E160" s="131"/>
      <c r="F160" s="131"/>
      <c r="G160" s="214" t="s">
        <v>278</v>
      </c>
      <c r="H160" s="214"/>
      <c r="I160" s="214"/>
      <c r="J160" s="214"/>
      <c r="K160" s="214" t="s">
        <v>279</v>
      </c>
      <c r="L160" s="214"/>
      <c r="M160" s="214"/>
      <c r="N160" s="214"/>
      <c r="O160" s="214" t="s">
        <v>280</v>
      </c>
      <c r="P160" s="214"/>
      <c r="Q160" s="214"/>
      <c r="R160" s="214"/>
      <c r="S160" s="214" t="s">
        <v>281</v>
      </c>
      <c r="T160" s="214"/>
      <c r="U160" s="214"/>
      <c r="V160" s="214"/>
      <c r="W160" s="214" t="s">
        <v>282</v>
      </c>
      <c r="X160" s="214"/>
      <c r="Y160" s="214"/>
      <c r="Z160" s="214"/>
      <c r="AA160" s="214" t="s">
        <v>283</v>
      </c>
      <c r="AB160" s="214"/>
      <c r="AC160" s="214"/>
      <c r="AD160" s="214"/>
      <c r="AE160" s="214" t="s">
        <v>284</v>
      </c>
      <c r="AF160" s="214"/>
      <c r="AG160" s="214"/>
      <c r="AH160" s="214"/>
      <c r="AI160" s="215" t="s">
        <v>285</v>
      </c>
      <c r="AJ160" s="215"/>
      <c r="AK160" s="215"/>
      <c r="AL160" s="215"/>
      <c r="AM160" s="215"/>
      <c r="AN160" s="215"/>
      <c r="AO160" s="215"/>
    </row>
    <row r="161" customFormat="false" ht="10.5" hidden="false" customHeight="true" outlineLevel="0" collapsed="false">
      <c r="A161" s="216"/>
      <c r="B161" s="216"/>
      <c r="C161" s="216"/>
      <c r="D161" s="216"/>
      <c r="E161" s="216"/>
      <c r="F161" s="216"/>
      <c r="G161" s="217"/>
      <c r="H161" s="217"/>
      <c r="I161" s="217"/>
      <c r="J161" s="217"/>
      <c r="K161" s="217"/>
      <c r="L161" s="217"/>
      <c r="M161" s="217"/>
      <c r="N161" s="217"/>
      <c r="O161" s="217"/>
      <c r="P161" s="217"/>
      <c r="Q161" s="217"/>
      <c r="R161" s="217"/>
      <c r="S161" s="217"/>
      <c r="T161" s="217"/>
      <c r="U161" s="217"/>
      <c r="V161" s="217"/>
      <c r="W161" s="217"/>
      <c r="X161" s="217"/>
      <c r="Y161" s="217"/>
      <c r="Z161" s="217"/>
      <c r="AA161" s="217"/>
      <c r="AB161" s="217"/>
      <c r="AC161" s="217"/>
      <c r="AD161" s="217"/>
      <c r="AE161" s="217"/>
      <c r="AF161" s="217"/>
      <c r="AG161" s="217"/>
      <c r="AH161" s="217"/>
      <c r="AI161" s="137" t="n">
        <f aca="false">SUM(A161:AH161)</f>
        <v>0</v>
      </c>
      <c r="AJ161" s="137"/>
      <c r="AK161" s="137"/>
      <c r="AL161" s="137"/>
      <c r="AM161" s="137"/>
      <c r="AN161" s="137"/>
      <c r="AO161" s="137"/>
    </row>
    <row r="162" customFormat="false" ht="10.5" hidden="false" customHeight="true" outlineLevel="0" collapsed="false">
      <c r="A162" s="216"/>
      <c r="B162" s="216"/>
      <c r="C162" s="216"/>
      <c r="D162" s="216"/>
      <c r="E162" s="216"/>
      <c r="F162" s="216"/>
      <c r="G162" s="217"/>
      <c r="H162" s="217"/>
      <c r="I162" s="217"/>
      <c r="J162" s="217"/>
      <c r="K162" s="217"/>
      <c r="L162" s="217"/>
      <c r="M162" s="217"/>
      <c r="N162" s="217"/>
      <c r="O162" s="217"/>
      <c r="P162" s="217"/>
      <c r="Q162" s="217"/>
      <c r="R162" s="217"/>
      <c r="S162" s="217"/>
      <c r="T162" s="217"/>
      <c r="U162" s="217"/>
      <c r="V162" s="217"/>
      <c r="W162" s="217"/>
      <c r="X162" s="217"/>
      <c r="Y162" s="217"/>
      <c r="Z162" s="217"/>
      <c r="AA162" s="217"/>
      <c r="AB162" s="217"/>
      <c r="AC162" s="217"/>
      <c r="AD162" s="217"/>
      <c r="AE162" s="217"/>
      <c r="AF162" s="217"/>
      <c r="AG162" s="217"/>
      <c r="AH162" s="217"/>
      <c r="AI162" s="137" t="n">
        <f aca="false">SUM(A162:AH162)</f>
        <v>0</v>
      </c>
      <c r="AJ162" s="137"/>
      <c r="AK162" s="137"/>
      <c r="AL162" s="137"/>
      <c r="AM162" s="137"/>
      <c r="AN162" s="137"/>
      <c r="AO162" s="137"/>
    </row>
    <row r="163" customFormat="false" ht="10.5" hidden="false" customHeight="true" outlineLevel="0" collapsed="false">
      <c r="A163" s="216"/>
      <c r="B163" s="216"/>
      <c r="C163" s="216"/>
      <c r="D163" s="216"/>
      <c r="E163" s="216"/>
      <c r="F163" s="216"/>
      <c r="G163" s="217"/>
      <c r="H163" s="217"/>
      <c r="I163" s="217"/>
      <c r="J163" s="217"/>
      <c r="K163" s="217"/>
      <c r="L163" s="217"/>
      <c r="M163" s="217"/>
      <c r="N163" s="217"/>
      <c r="O163" s="217"/>
      <c r="P163" s="217"/>
      <c r="Q163" s="217"/>
      <c r="R163" s="217"/>
      <c r="S163" s="217"/>
      <c r="T163" s="217"/>
      <c r="U163" s="217"/>
      <c r="V163" s="217"/>
      <c r="W163" s="217"/>
      <c r="X163" s="217"/>
      <c r="Y163" s="217"/>
      <c r="Z163" s="217"/>
      <c r="AA163" s="217"/>
      <c r="AB163" s="217"/>
      <c r="AC163" s="217"/>
      <c r="AD163" s="217"/>
      <c r="AE163" s="217"/>
      <c r="AF163" s="217"/>
      <c r="AG163" s="217"/>
      <c r="AH163" s="217"/>
      <c r="AI163" s="137" t="n">
        <f aca="false">SUM(A163:AH163)</f>
        <v>0</v>
      </c>
      <c r="AJ163" s="137"/>
      <c r="AK163" s="137"/>
      <c r="AL163" s="137"/>
      <c r="AM163" s="137"/>
      <c r="AN163" s="137"/>
      <c r="AO163" s="137"/>
    </row>
    <row r="164" customFormat="false" ht="10.5" hidden="false" customHeight="true" outlineLevel="0" collapsed="false">
      <c r="A164" s="216"/>
      <c r="B164" s="216"/>
      <c r="C164" s="216"/>
      <c r="D164" s="216"/>
      <c r="E164" s="216"/>
      <c r="F164" s="216"/>
      <c r="G164" s="217"/>
      <c r="H164" s="217"/>
      <c r="I164" s="217"/>
      <c r="J164" s="217"/>
      <c r="K164" s="217"/>
      <c r="L164" s="217"/>
      <c r="M164" s="217"/>
      <c r="N164" s="217"/>
      <c r="O164" s="217"/>
      <c r="P164" s="217"/>
      <c r="Q164" s="217"/>
      <c r="R164" s="217"/>
      <c r="S164" s="217"/>
      <c r="T164" s="217"/>
      <c r="U164" s="217"/>
      <c r="V164" s="217"/>
      <c r="W164" s="217"/>
      <c r="X164" s="217"/>
      <c r="Y164" s="217"/>
      <c r="Z164" s="217"/>
      <c r="AA164" s="217"/>
      <c r="AB164" s="217"/>
      <c r="AC164" s="217"/>
      <c r="AD164" s="217"/>
      <c r="AE164" s="217"/>
      <c r="AF164" s="217"/>
      <c r="AG164" s="217"/>
      <c r="AH164" s="217"/>
      <c r="AI164" s="137" t="n">
        <f aca="false">SUM(A164:AH164)</f>
        <v>0</v>
      </c>
      <c r="AJ164" s="137"/>
      <c r="AK164" s="137"/>
      <c r="AL164" s="137"/>
      <c r="AM164" s="137"/>
      <c r="AN164" s="137"/>
      <c r="AO164" s="137"/>
    </row>
    <row r="165" customFormat="false" ht="10.5" hidden="false" customHeight="true" outlineLevel="0" collapsed="false">
      <c r="A165" s="216"/>
      <c r="B165" s="216"/>
      <c r="C165" s="216"/>
      <c r="D165" s="216"/>
      <c r="E165" s="216"/>
      <c r="F165" s="216"/>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137" t="n">
        <f aca="false">SUM(A165:AH165)</f>
        <v>0</v>
      </c>
      <c r="AJ165" s="137"/>
      <c r="AK165" s="137"/>
      <c r="AL165" s="137"/>
      <c r="AM165" s="137"/>
      <c r="AN165" s="137"/>
      <c r="AO165" s="137"/>
    </row>
    <row r="166" customFormat="false" ht="10.5" hidden="false" customHeight="true" outlineLevel="0" collapsed="false">
      <c r="A166" s="216"/>
      <c r="B166" s="216"/>
      <c r="C166" s="216"/>
      <c r="D166" s="216"/>
      <c r="E166" s="216"/>
      <c r="F166" s="216"/>
      <c r="G166" s="217"/>
      <c r="H166" s="217"/>
      <c r="I166" s="217"/>
      <c r="J166" s="217"/>
      <c r="K166" s="217"/>
      <c r="L166" s="217"/>
      <c r="M166" s="217"/>
      <c r="N166" s="217"/>
      <c r="O166" s="217"/>
      <c r="P166" s="217"/>
      <c r="Q166" s="217"/>
      <c r="R166" s="217"/>
      <c r="S166" s="217"/>
      <c r="T166" s="217"/>
      <c r="U166" s="217"/>
      <c r="V166" s="217"/>
      <c r="W166" s="217"/>
      <c r="X166" s="217"/>
      <c r="Y166" s="217"/>
      <c r="Z166" s="217"/>
      <c r="AA166" s="217"/>
      <c r="AB166" s="217"/>
      <c r="AC166" s="217"/>
      <c r="AD166" s="217"/>
      <c r="AE166" s="217"/>
      <c r="AF166" s="217"/>
      <c r="AG166" s="217"/>
      <c r="AH166" s="217"/>
      <c r="AI166" s="137" t="n">
        <f aca="false">SUM(A166:AH166)</f>
        <v>0</v>
      </c>
      <c r="AJ166" s="137"/>
      <c r="AK166" s="137"/>
      <c r="AL166" s="137"/>
      <c r="AM166" s="137"/>
      <c r="AN166" s="137"/>
      <c r="AO166" s="137"/>
    </row>
    <row r="167" customFormat="false" ht="2.25" hidden="false" customHeight="true" outlineLevel="0" collapsed="false">
      <c r="A167" s="38"/>
      <c r="AO167" s="40"/>
    </row>
    <row r="168" s="88" customFormat="true" ht="10.5" hidden="false" customHeight="true" outlineLevel="0" collapsed="false">
      <c r="A168" s="218" t="s">
        <v>276</v>
      </c>
      <c r="B168" s="218"/>
      <c r="C168" s="218"/>
      <c r="D168" s="218"/>
      <c r="E168" s="218"/>
      <c r="F168" s="219" t="n">
        <f aca="false">SUM(AH153:AO158)</f>
        <v>0</v>
      </c>
      <c r="G168" s="219"/>
      <c r="H168" s="219"/>
      <c r="I168" s="219"/>
      <c r="J168" s="219"/>
      <c r="K168" s="220"/>
      <c r="L168" s="220"/>
      <c r="M168" s="220"/>
      <c r="N168" s="220"/>
      <c r="O168" s="220"/>
      <c r="P168" s="198" t="s">
        <v>285</v>
      </c>
      <c r="Q168" s="198"/>
      <c r="R168" s="198"/>
      <c r="S168" s="198"/>
      <c r="T168" s="219" t="n">
        <f aca="false">SUM(AI161:AO166)</f>
        <v>0</v>
      </c>
      <c r="U168" s="219"/>
      <c r="V168" s="219"/>
      <c r="W168" s="219"/>
      <c r="X168" s="219"/>
      <c r="Y168" s="92" t="s">
        <v>286</v>
      </c>
      <c r="Z168" s="92"/>
      <c r="AA168" s="92"/>
      <c r="AB168" s="92"/>
      <c r="AC168" s="92"/>
      <c r="AD168" s="92"/>
      <c r="AE168" s="92"/>
      <c r="AF168" s="92"/>
      <c r="AG168" s="92"/>
      <c r="AH168" s="92"/>
      <c r="AI168" s="92"/>
      <c r="AJ168" s="221" t="n">
        <f aca="false">F168-T168</f>
        <v>0</v>
      </c>
      <c r="AK168" s="221"/>
      <c r="AL168" s="221"/>
      <c r="AM168" s="221"/>
      <c r="AN168" s="221"/>
      <c r="AO168" s="221"/>
      <c r="AP168" s="7"/>
      <c r="AQ168" s="7"/>
      <c r="AR168" s="7"/>
      <c r="AS168" s="7"/>
      <c r="AT168" s="7"/>
      <c r="AU168" s="7"/>
      <c r="AV168" s="7"/>
      <c r="AW168" s="7"/>
      <c r="AX168" s="7"/>
      <c r="AY168" s="7"/>
      <c r="AZ168" s="7"/>
      <c r="BA168" s="7"/>
      <c r="BB168" s="7"/>
      <c r="BC168" s="7"/>
    </row>
    <row r="169" customFormat="false" ht="10.5" hidden="false" customHeight="true" outlineLevel="0" collapsed="false">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row>
    <row r="170" customFormat="false" ht="12" hidden="false" customHeight="true" outlineLevel="0" collapsed="false">
      <c r="A170" s="48" t="s">
        <v>287</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row>
    <row r="171" customFormat="false" ht="10.5" hidden="false" customHeight="true" outlineLevel="0" collapsed="false">
      <c r="A171" s="48" t="s">
        <v>288</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row>
    <row r="172" customFormat="false" ht="10.5" hidden="false" customHeight="true" outlineLevel="0" collapsed="false">
      <c r="A172" s="131" t="s">
        <v>265</v>
      </c>
      <c r="B172" s="131"/>
      <c r="C172" s="131"/>
      <c r="D172" s="131"/>
      <c r="E172" s="131"/>
      <c r="F172" s="214" t="s">
        <v>289</v>
      </c>
      <c r="G172" s="214"/>
      <c r="H172" s="214"/>
      <c r="I172" s="214"/>
      <c r="J172" s="214"/>
      <c r="K172" s="214"/>
      <c r="L172" s="214"/>
      <c r="M172" s="214"/>
      <c r="N172" s="214"/>
      <c r="O172" s="214"/>
      <c r="P172" s="214" t="s">
        <v>290</v>
      </c>
      <c r="Q172" s="214"/>
      <c r="R172" s="214"/>
      <c r="S172" s="214"/>
      <c r="T172" s="214"/>
      <c r="U172" s="214"/>
      <c r="V172" s="214"/>
      <c r="W172" s="214"/>
      <c r="X172" s="214"/>
      <c r="Y172" s="214"/>
      <c r="Z172" s="214" t="s">
        <v>291</v>
      </c>
      <c r="AA172" s="214"/>
      <c r="AB172" s="214"/>
      <c r="AC172" s="214"/>
      <c r="AD172" s="214" t="s">
        <v>292</v>
      </c>
      <c r="AE172" s="214"/>
      <c r="AF172" s="214"/>
      <c r="AG172" s="215" t="s">
        <v>293</v>
      </c>
      <c r="AH172" s="215"/>
      <c r="AI172" s="215"/>
      <c r="AJ172" s="215"/>
      <c r="AK172" s="215"/>
      <c r="AL172" s="215"/>
      <c r="AM172" s="215"/>
      <c r="AN172" s="215"/>
      <c r="AO172" s="215"/>
    </row>
    <row r="173" customFormat="false" ht="10.5" hidden="false" customHeight="true" outlineLevel="0" collapsed="false">
      <c r="A173" s="212"/>
      <c r="B173" s="212"/>
      <c r="C173" s="212"/>
      <c r="D173" s="212"/>
      <c r="E173" s="212"/>
      <c r="F173" s="163"/>
      <c r="G173" s="163"/>
      <c r="H173" s="163"/>
      <c r="I173" s="163"/>
      <c r="J173" s="163"/>
      <c r="K173" s="163"/>
      <c r="L173" s="163"/>
      <c r="M173" s="163"/>
      <c r="N173" s="163"/>
      <c r="O173" s="163"/>
      <c r="P173" s="163"/>
      <c r="Q173" s="163"/>
      <c r="R173" s="163"/>
      <c r="S173" s="163"/>
      <c r="T173" s="163"/>
      <c r="U173" s="163"/>
      <c r="V173" s="163"/>
      <c r="W173" s="163"/>
      <c r="X173" s="163"/>
      <c r="Y173" s="163"/>
      <c r="Z173" s="165"/>
      <c r="AA173" s="165"/>
      <c r="AB173" s="165"/>
      <c r="AC173" s="165"/>
      <c r="AD173" s="19"/>
      <c r="AE173" s="19"/>
      <c r="AF173" s="19"/>
      <c r="AG173" s="223"/>
      <c r="AH173" s="223"/>
      <c r="AI173" s="223"/>
      <c r="AJ173" s="223"/>
      <c r="AK173" s="223"/>
      <c r="AL173" s="223"/>
      <c r="AM173" s="223"/>
      <c r="AN173" s="223"/>
      <c r="AO173" s="223"/>
    </row>
    <row r="174" customFormat="false" ht="10.5" hidden="false" customHeight="true" outlineLevel="0" collapsed="false">
      <c r="A174" s="212"/>
      <c r="B174" s="212"/>
      <c r="C174" s="212"/>
      <c r="D174" s="212"/>
      <c r="E174" s="212"/>
      <c r="F174" s="163"/>
      <c r="G174" s="163"/>
      <c r="H174" s="163"/>
      <c r="I174" s="163"/>
      <c r="J174" s="163"/>
      <c r="K174" s="163"/>
      <c r="L174" s="163"/>
      <c r="M174" s="163"/>
      <c r="N174" s="163"/>
      <c r="O174" s="163"/>
      <c r="P174" s="163"/>
      <c r="Q174" s="163"/>
      <c r="R174" s="163"/>
      <c r="S174" s="163"/>
      <c r="T174" s="163"/>
      <c r="U174" s="163"/>
      <c r="V174" s="163"/>
      <c r="W174" s="163"/>
      <c r="X174" s="163"/>
      <c r="Y174" s="163"/>
      <c r="Z174" s="165"/>
      <c r="AA174" s="165"/>
      <c r="AB174" s="165"/>
      <c r="AC174" s="165"/>
      <c r="AD174" s="224"/>
      <c r="AE174" s="224"/>
      <c r="AF174" s="224"/>
      <c r="AG174" s="223"/>
      <c r="AH174" s="223"/>
      <c r="AI174" s="223"/>
      <c r="AJ174" s="223"/>
      <c r="AK174" s="223"/>
      <c r="AL174" s="223"/>
      <c r="AM174" s="223"/>
      <c r="AN174" s="223"/>
      <c r="AO174" s="223"/>
    </row>
    <row r="175" customFormat="false" ht="10.5" hidden="false" customHeight="true" outlineLevel="0" collapsed="false">
      <c r="A175" s="212"/>
      <c r="B175" s="212"/>
      <c r="C175" s="212"/>
      <c r="D175" s="212"/>
      <c r="E175" s="212"/>
      <c r="F175" s="163"/>
      <c r="G175" s="163"/>
      <c r="H175" s="163"/>
      <c r="I175" s="163"/>
      <c r="J175" s="163"/>
      <c r="K175" s="163"/>
      <c r="L175" s="163"/>
      <c r="M175" s="163"/>
      <c r="N175" s="163"/>
      <c r="O175" s="163"/>
      <c r="P175" s="163"/>
      <c r="Q175" s="163"/>
      <c r="R175" s="163"/>
      <c r="S175" s="163"/>
      <c r="T175" s="163"/>
      <c r="U175" s="163"/>
      <c r="V175" s="163"/>
      <c r="W175" s="163"/>
      <c r="X175" s="163"/>
      <c r="Y175" s="163"/>
      <c r="Z175" s="165"/>
      <c r="AA175" s="165"/>
      <c r="AB175" s="165"/>
      <c r="AC175" s="165"/>
      <c r="AD175" s="224"/>
      <c r="AE175" s="224"/>
      <c r="AF175" s="224"/>
      <c r="AG175" s="223"/>
      <c r="AH175" s="223"/>
      <c r="AI175" s="223"/>
      <c r="AJ175" s="223"/>
      <c r="AK175" s="223"/>
      <c r="AL175" s="223"/>
      <c r="AM175" s="223"/>
      <c r="AN175" s="223"/>
      <c r="AO175" s="223"/>
    </row>
    <row r="176" customFormat="false" ht="10.5" hidden="false" customHeight="true" outlineLevel="0" collapsed="false">
      <c r="A176" s="225"/>
      <c r="B176" s="225"/>
      <c r="C176" s="225"/>
      <c r="D176" s="225"/>
      <c r="E176" s="225"/>
      <c r="F176" s="163"/>
      <c r="G176" s="163"/>
      <c r="H176" s="163"/>
      <c r="I176" s="163"/>
      <c r="J176" s="163"/>
      <c r="K176" s="163"/>
      <c r="L176" s="163"/>
      <c r="M176" s="163"/>
      <c r="N176" s="163"/>
      <c r="O176" s="163"/>
      <c r="P176" s="163"/>
      <c r="Q176" s="163"/>
      <c r="R176" s="163"/>
      <c r="S176" s="163"/>
      <c r="T176" s="163"/>
      <c r="U176" s="163"/>
      <c r="V176" s="163"/>
      <c r="W176" s="163"/>
      <c r="X176" s="163"/>
      <c r="Y176" s="163"/>
      <c r="Z176" s="226"/>
      <c r="AA176" s="226"/>
      <c r="AB176" s="226"/>
      <c r="AC176" s="226"/>
      <c r="AD176" s="227"/>
      <c r="AE176" s="227"/>
      <c r="AF176" s="227"/>
      <c r="AG176" s="223"/>
      <c r="AH176" s="223"/>
      <c r="AI176" s="223"/>
      <c r="AJ176" s="223"/>
      <c r="AK176" s="223"/>
      <c r="AL176" s="223"/>
      <c r="AM176" s="223"/>
      <c r="AN176" s="223"/>
      <c r="AO176" s="223"/>
    </row>
    <row r="177" customFormat="false" ht="10.5" hidden="false" customHeight="true" outlineLevel="0" collapsed="false">
      <c r="A177" s="225"/>
      <c r="B177" s="225"/>
      <c r="C177" s="225"/>
      <c r="D177" s="225"/>
      <c r="E177" s="225"/>
      <c r="F177" s="163"/>
      <c r="G177" s="163"/>
      <c r="H177" s="163"/>
      <c r="I177" s="163"/>
      <c r="J177" s="163"/>
      <c r="K177" s="163"/>
      <c r="L177" s="163"/>
      <c r="M177" s="163"/>
      <c r="N177" s="163"/>
      <c r="O177" s="163"/>
      <c r="P177" s="163"/>
      <c r="Q177" s="163"/>
      <c r="R177" s="163"/>
      <c r="S177" s="163"/>
      <c r="T177" s="163"/>
      <c r="U177" s="163"/>
      <c r="V177" s="163"/>
      <c r="W177" s="163"/>
      <c r="X177" s="163"/>
      <c r="Y177" s="163"/>
      <c r="Z177" s="165"/>
      <c r="AA177" s="165"/>
      <c r="AB177" s="165"/>
      <c r="AC177" s="165"/>
      <c r="AD177" s="227"/>
      <c r="AE177" s="227"/>
      <c r="AF177" s="227"/>
      <c r="AG177" s="223"/>
      <c r="AH177" s="223"/>
      <c r="AI177" s="223"/>
      <c r="AJ177" s="223"/>
      <c r="AK177" s="223"/>
      <c r="AL177" s="223"/>
      <c r="AM177" s="223"/>
      <c r="AN177" s="223"/>
      <c r="AO177" s="223"/>
    </row>
    <row r="178" customFormat="false" ht="10.5" hidden="false" customHeight="true" outlineLevel="0" collapsed="false">
      <c r="A178" s="225"/>
      <c r="B178" s="225"/>
      <c r="C178" s="225"/>
      <c r="D178" s="225"/>
      <c r="E178" s="225"/>
      <c r="F178" s="163"/>
      <c r="G178" s="163"/>
      <c r="H178" s="163"/>
      <c r="I178" s="163"/>
      <c r="J178" s="163"/>
      <c r="K178" s="163"/>
      <c r="L178" s="163"/>
      <c r="M178" s="163"/>
      <c r="N178" s="163"/>
      <c r="O178" s="163"/>
      <c r="P178" s="163"/>
      <c r="Q178" s="163"/>
      <c r="R178" s="163"/>
      <c r="S178" s="163"/>
      <c r="T178" s="163"/>
      <c r="U178" s="163"/>
      <c r="V178" s="163"/>
      <c r="W178" s="163"/>
      <c r="X178" s="163"/>
      <c r="Y178" s="163"/>
      <c r="Z178" s="165"/>
      <c r="AA178" s="165"/>
      <c r="AB178" s="165"/>
      <c r="AC178" s="165"/>
      <c r="AD178" s="227"/>
      <c r="AE178" s="227"/>
      <c r="AF178" s="227"/>
      <c r="AG178" s="223"/>
      <c r="AH178" s="223"/>
      <c r="AI178" s="223"/>
      <c r="AJ178" s="223"/>
      <c r="AK178" s="223"/>
      <c r="AL178" s="223"/>
      <c r="AM178" s="223"/>
      <c r="AN178" s="223"/>
      <c r="AO178" s="223"/>
    </row>
    <row r="179" customFormat="false" ht="10.5" hidden="false" customHeight="true" outlineLevel="0" collapsed="false">
      <c r="A179" s="225"/>
      <c r="B179" s="225"/>
      <c r="C179" s="225"/>
      <c r="D179" s="225"/>
      <c r="E179" s="225"/>
      <c r="F179" s="163"/>
      <c r="G179" s="163"/>
      <c r="H179" s="163"/>
      <c r="I179" s="163"/>
      <c r="J179" s="163"/>
      <c r="K179" s="163"/>
      <c r="L179" s="163"/>
      <c r="M179" s="163"/>
      <c r="N179" s="163"/>
      <c r="O179" s="163"/>
      <c r="P179" s="163"/>
      <c r="Q179" s="163"/>
      <c r="R179" s="163"/>
      <c r="S179" s="163"/>
      <c r="T179" s="163"/>
      <c r="U179" s="163"/>
      <c r="V179" s="163"/>
      <c r="W179" s="163"/>
      <c r="X179" s="163"/>
      <c r="Y179" s="163"/>
      <c r="Z179" s="165"/>
      <c r="AA179" s="165"/>
      <c r="AB179" s="165"/>
      <c r="AC179" s="165"/>
      <c r="AD179" s="227"/>
      <c r="AE179" s="227"/>
      <c r="AF179" s="227"/>
      <c r="AG179" s="223"/>
      <c r="AH179" s="223"/>
      <c r="AI179" s="223"/>
      <c r="AJ179" s="223"/>
      <c r="AK179" s="223"/>
      <c r="AL179" s="223"/>
      <c r="AM179" s="223"/>
      <c r="AN179" s="223"/>
      <c r="AO179" s="223"/>
    </row>
    <row r="180" customFormat="false" ht="10.5" hidden="false" customHeight="true" outlineLevel="0" collapsed="false">
      <c r="A180" s="228"/>
      <c r="B180" s="228"/>
      <c r="C180" s="228"/>
      <c r="D180" s="228"/>
      <c r="E180" s="228"/>
      <c r="F180" s="229"/>
      <c r="G180" s="229"/>
      <c r="H180" s="229"/>
      <c r="I180" s="229"/>
      <c r="J180" s="229"/>
      <c r="K180" s="229"/>
      <c r="L180" s="229"/>
      <c r="M180" s="229"/>
      <c r="N180" s="229"/>
      <c r="O180" s="229"/>
      <c r="P180" s="229"/>
      <c r="Q180" s="229"/>
      <c r="R180" s="229"/>
      <c r="S180" s="229"/>
      <c r="T180" s="229"/>
      <c r="U180" s="229"/>
      <c r="V180" s="229"/>
      <c r="W180" s="229"/>
      <c r="X180" s="229"/>
      <c r="Y180" s="229"/>
      <c r="Z180" s="172"/>
      <c r="AA180" s="172"/>
      <c r="AB180" s="172"/>
      <c r="AC180" s="172"/>
      <c r="AD180" s="230"/>
      <c r="AE180" s="230"/>
      <c r="AF180" s="230"/>
      <c r="AG180" s="231"/>
      <c r="AH180" s="231"/>
      <c r="AI180" s="231"/>
      <c r="AJ180" s="231"/>
      <c r="AK180" s="231"/>
      <c r="AL180" s="231"/>
      <c r="AM180" s="231"/>
      <c r="AN180" s="231"/>
      <c r="AO180" s="231"/>
    </row>
    <row r="181" customFormat="false" ht="2.25" hidden="false" customHeight="true" outlineLevel="0" collapsed="false">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6"/>
    </row>
    <row r="182" customFormat="false" ht="2.25" hidden="false" customHeight="true" outlineLevel="0" collapsed="false">
      <c r="A182" s="7"/>
      <c r="AO182" s="40"/>
    </row>
    <row r="183" customFormat="false" ht="2.25" hidden="false" customHeight="true" outlineLevel="0" collapsed="false">
      <c r="A183" s="7"/>
      <c r="AO183" s="40"/>
    </row>
    <row r="184" customFormat="false" ht="10.5" hidden="false" customHeight="true" outlineLevel="0" collapsed="false">
      <c r="A184" s="48" t="s">
        <v>294</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row>
    <row r="185" customFormat="false" ht="10.5" hidden="false" customHeight="true" outlineLevel="0" collapsed="false">
      <c r="A185" s="131" t="s">
        <v>293</v>
      </c>
      <c r="B185" s="131"/>
      <c r="C185" s="131"/>
      <c r="D185" s="131"/>
      <c r="E185" s="131"/>
      <c r="F185" s="131"/>
      <c r="G185" s="131"/>
      <c r="H185" s="131"/>
      <c r="I185" s="131"/>
      <c r="J185" s="131"/>
      <c r="K185" s="214" t="s">
        <v>125</v>
      </c>
      <c r="L185" s="214"/>
      <c r="M185" s="214"/>
      <c r="N185" s="214"/>
      <c r="O185" s="214" t="s">
        <v>295</v>
      </c>
      <c r="P185" s="214"/>
      <c r="Q185" s="214"/>
      <c r="R185" s="214" t="s">
        <v>296</v>
      </c>
      <c r="S185" s="214"/>
      <c r="T185" s="214"/>
      <c r="U185" s="214" t="s">
        <v>297</v>
      </c>
      <c r="V185" s="214"/>
      <c r="W185" s="214"/>
      <c r="X185" s="214"/>
      <c r="Y185" s="214" t="s">
        <v>298</v>
      </c>
      <c r="Z185" s="214"/>
      <c r="AA185" s="214"/>
      <c r="AB185" s="214"/>
      <c r="AC185" s="214"/>
      <c r="AD185" s="214"/>
      <c r="AE185" s="214"/>
      <c r="AF185" s="214"/>
      <c r="AG185" s="214"/>
      <c r="AH185" s="214"/>
      <c r="AI185" s="214"/>
      <c r="AJ185" s="215" t="s">
        <v>129</v>
      </c>
      <c r="AK185" s="215"/>
      <c r="AL185" s="215"/>
      <c r="AM185" s="215"/>
      <c r="AN185" s="215"/>
      <c r="AO185" s="215"/>
    </row>
    <row r="186" customFormat="false" ht="10.5" hidden="false" customHeight="true" outlineLevel="0" collapsed="false">
      <c r="A186" s="159" t="s">
        <v>299</v>
      </c>
      <c r="B186" s="159"/>
      <c r="C186" s="159"/>
      <c r="D186" s="159"/>
      <c r="E186" s="159"/>
      <c r="F186" s="159"/>
      <c r="G186" s="159"/>
      <c r="H186" s="159"/>
      <c r="I186" s="159"/>
      <c r="J186" s="159"/>
      <c r="K186" s="217" t="n">
        <v>3000</v>
      </c>
      <c r="L186" s="217"/>
      <c r="M186" s="217"/>
      <c r="N186" s="217"/>
      <c r="O186" s="19" t="s">
        <v>300</v>
      </c>
      <c r="P186" s="19"/>
      <c r="Q186" s="19"/>
      <c r="R186" s="217" t="n">
        <v>171</v>
      </c>
      <c r="S186" s="217"/>
      <c r="T186" s="217"/>
      <c r="U186" s="217" t="n">
        <v>141.68</v>
      </c>
      <c r="V186" s="217"/>
      <c r="W186" s="217"/>
      <c r="X186" s="217"/>
      <c r="Y186" s="163" t="s">
        <v>301</v>
      </c>
      <c r="Z186" s="163"/>
      <c r="AA186" s="163"/>
      <c r="AB186" s="163"/>
      <c r="AC186" s="163"/>
      <c r="AD186" s="163"/>
      <c r="AE186" s="163"/>
      <c r="AF186" s="163"/>
      <c r="AG186" s="163"/>
      <c r="AH186" s="163"/>
      <c r="AI186" s="163"/>
      <c r="AJ186" s="223" t="s">
        <v>64</v>
      </c>
      <c r="AK186" s="223"/>
      <c r="AL186" s="223"/>
      <c r="AM186" s="223"/>
      <c r="AN186" s="223"/>
      <c r="AO186" s="223"/>
    </row>
    <row r="187" customFormat="false" ht="10.5" hidden="false" customHeight="true" outlineLevel="0" collapsed="false">
      <c r="A187" s="159" t="s">
        <v>302</v>
      </c>
      <c r="B187" s="159"/>
      <c r="C187" s="159"/>
      <c r="D187" s="159"/>
      <c r="E187" s="159"/>
      <c r="F187" s="159"/>
      <c r="G187" s="159"/>
      <c r="H187" s="159"/>
      <c r="I187" s="159"/>
      <c r="J187" s="159"/>
      <c r="K187" s="217" t="n">
        <v>4000</v>
      </c>
      <c r="L187" s="217"/>
      <c r="M187" s="217"/>
      <c r="N187" s="217"/>
      <c r="O187" s="19" t="s">
        <v>300</v>
      </c>
      <c r="P187" s="19"/>
      <c r="Q187" s="19"/>
      <c r="R187" s="217" t="n">
        <v>92</v>
      </c>
      <c r="S187" s="217"/>
      <c r="T187" s="217"/>
      <c r="U187" s="217" t="n">
        <v>91.26</v>
      </c>
      <c r="V187" s="217"/>
      <c r="W187" s="217"/>
      <c r="X187" s="217"/>
      <c r="Y187" s="163" t="s">
        <v>301</v>
      </c>
      <c r="Z187" s="163"/>
      <c r="AA187" s="163"/>
      <c r="AB187" s="163"/>
      <c r="AC187" s="163"/>
      <c r="AD187" s="163"/>
      <c r="AE187" s="163"/>
      <c r="AF187" s="163"/>
      <c r="AG187" s="163"/>
      <c r="AH187" s="163"/>
      <c r="AI187" s="163"/>
      <c r="AJ187" s="223" t="s">
        <v>64</v>
      </c>
      <c r="AK187" s="223"/>
      <c r="AL187" s="223"/>
      <c r="AM187" s="223"/>
      <c r="AN187" s="223"/>
      <c r="AO187" s="223"/>
    </row>
    <row r="188" customFormat="false" ht="10.5" hidden="false" customHeight="true" outlineLevel="0" collapsed="false">
      <c r="A188" s="159" t="s">
        <v>303</v>
      </c>
      <c r="B188" s="159"/>
      <c r="C188" s="159"/>
      <c r="D188" s="159"/>
      <c r="E188" s="159"/>
      <c r="F188" s="159"/>
      <c r="G188" s="159"/>
      <c r="H188" s="159"/>
      <c r="I188" s="159"/>
      <c r="J188" s="159"/>
      <c r="K188" s="217" t="n">
        <v>4000</v>
      </c>
      <c r="L188" s="217"/>
      <c r="M188" s="217"/>
      <c r="N188" s="217"/>
      <c r="O188" s="19" t="s">
        <v>300</v>
      </c>
      <c r="P188" s="19"/>
      <c r="Q188" s="19"/>
      <c r="R188" s="217" t="n">
        <v>4</v>
      </c>
      <c r="S188" s="217"/>
      <c r="T188" s="217"/>
      <c r="U188" s="217" t="n">
        <v>3.95</v>
      </c>
      <c r="V188" s="217"/>
      <c r="W188" s="217"/>
      <c r="X188" s="217"/>
      <c r="Y188" s="163" t="s">
        <v>301</v>
      </c>
      <c r="Z188" s="163"/>
      <c r="AA188" s="163"/>
      <c r="AB188" s="163"/>
      <c r="AC188" s="163"/>
      <c r="AD188" s="163"/>
      <c r="AE188" s="163"/>
      <c r="AF188" s="163"/>
      <c r="AG188" s="163"/>
      <c r="AH188" s="163"/>
      <c r="AI188" s="163"/>
      <c r="AJ188" s="223" t="s">
        <v>64</v>
      </c>
      <c r="AK188" s="223"/>
      <c r="AL188" s="223"/>
      <c r="AM188" s="223"/>
      <c r="AN188" s="223"/>
      <c r="AO188" s="223"/>
    </row>
    <row r="189" customFormat="false" ht="10.5" hidden="false" customHeight="true" outlineLevel="0" collapsed="false">
      <c r="A189" s="232" t="s">
        <v>304</v>
      </c>
      <c r="B189" s="232"/>
      <c r="C189" s="232"/>
      <c r="D189" s="232"/>
      <c r="E189" s="232"/>
      <c r="F189" s="232"/>
      <c r="G189" s="232"/>
      <c r="H189" s="232"/>
      <c r="I189" s="232"/>
      <c r="J189" s="232"/>
      <c r="K189" s="233" t="n">
        <v>700</v>
      </c>
      <c r="L189" s="233"/>
      <c r="M189" s="233"/>
      <c r="N189" s="233"/>
      <c r="O189" s="234" t="n">
        <v>12</v>
      </c>
      <c r="P189" s="234"/>
      <c r="Q189" s="234"/>
      <c r="R189" s="233" t="n">
        <v>61.75</v>
      </c>
      <c r="S189" s="233"/>
      <c r="T189" s="233"/>
      <c r="U189" s="233" t="n">
        <v>241.17</v>
      </c>
      <c r="V189" s="233"/>
      <c r="W189" s="233"/>
      <c r="X189" s="233"/>
      <c r="Y189" s="235" t="s">
        <v>301</v>
      </c>
      <c r="Z189" s="235"/>
      <c r="AA189" s="235"/>
      <c r="AB189" s="235"/>
      <c r="AC189" s="235"/>
      <c r="AD189" s="235"/>
      <c r="AE189" s="235"/>
      <c r="AF189" s="235"/>
      <c r="AG189" s="235"/>
      <c r="AH189" s="235"/>
      <c r="AI189" s="235"/>
      <c r="AJ189" s="236" t="s">
        <v>64</v>
      </c>
      <c r="AK189" s="236"/>
      <c r="AL189" s="236"/>
      <c r="AM189" s="236"/>
      <c r="AN189" s="236"/>
      <c r="AO189" s="236"/>
    </row>
    <row r="190" customFormat="false" ht="10.5" hidden="false" customHeight="true" outlineLevel="0" collapsed="false">
      <c r="A190" s="159"/>
      <c r="B190" s="159"/>
      <c r="C190" s="159"/>
      <c r="D190" s="159"/>
      <c r="E190" s="159"/>
      <c r="F190" s="159"/>
      <c r="G190" s="159"/>
      <c r="H190" s="159"/>
      <c r="I190" s="159"/>
      <c r="J190" s="159"/>
      <c r="K190" s="217"/>
      <c r="L190" s="217"/>
      <c r="M190" s="217"/>
      <c r="N190" s="217"/>
      <c r="O190" s="19"/>
      <c r="P190" s="19"/>
      <c r="Q190" s="19"/>
      <c r="R190" s="217"/>
      <c r="S190" s="217"/>
      <c r="T190" s="217"/>
      <c r="U190" s="217"/>
      <c r="V190" s="217"/>
      <c r="W190" s="217"/>
      <c r="X190" s="217"/>
      <c r="Y190" s="163"/>
      <c r="Z190" s="163"/>
      <c r="AA190" s="163"/>
      <c r="AB190" s="163"/>
      <c r="AC190" s="163"/>
      <c r="AD190" s="163"/>
      <c r="AE190" s="163"/>
      <c r="AF190" s="163"/>
      <c r="AG190" s="163"/>
      <c r="AH190" s="163"/>
      <c r="AI190" s="163"/>
      <c r="AJ190" s="44"/>
      <c r="AK190" s="44"/>
      <c r="AL190" s="44"/>
      <c r="AM190" s="44"/>
      <c r="AN190" s="44"/>
      <c r="AO190" s="44"/>
    </row>
    <row r="191" customFormat="false" ht="10.5" hidden="false" customHeight="true" outlineLevel="0" collapsed="false">
      <c r="A191" s="159"/>
      <c r="B191" s="159"/>
      <c r="C191" s="159"/>
      <c r="D191" s="159"/>
      <c r="E191" s="159"/>
      <c r="F191" s="159"/>
      <c r="G191" s="159"/>
      <c r="H191" s="159"/>
      <c r="I191" s="159"/>
      <c r="J191" s="159"/>
      <c r="K191" s="217"/>
      <c r="L191" s="217"/>
      <c r="M191" s="217"/>
      <c r="N191" s="217"/>
      <c r="O191" s="19"/>
      <c r="P191" s="19"/>
      <c r="Q191" s="19"/>
      <c r="R191" s="217"/>
      <c r="S191" s="217"/>
      <c r="T191" s="217"/>
      <c r="U191" s="217"/>
      <c r="V191" s="217"/>
      <c r="W191" s="217"/>
      <c r="X191" s="217"/>
      <c r="Y191" s="163"/>
      <c r="Z191" s="163"/>
      <c r="AA191" s="163"/>
      <c r="AB191" s="163"/>
      <c r="AC191" s="163"/>
      <c r="AD191" s="163"/>
      <c r="AE191" s="163"/>
      <c r="AF191" s="163"/>
      <c r="AG191" s="163"/>
      <c r="AH191" s="163"/>
      <c r="AI191" s="163"/>
      <c r="AJ191" s="44"/>
      <c r="AK191" s="44"/>
      <c r="AL191" s="44"/>
      <c r="AM191" s="44"/>
      <c r="AN191" s="44"/>
      <c r="AO191" s="44"/>
    </row>
    <row r="192" customFormat="false" ht="10.5" hidden="false" customHeight="true" outlineLevel="0" collapsed="false">
      <c r="A192" s="166"/>
      <c r="B192" s="166"/>
      <c r="C192" s="166"/>
      <c r="D192" s="166"/>
      <c r="E192" s="166"/>
      <c r="F192" s="166"/>
      <c r="G192" s="166"/>
      <c r="H192" s="166"/>
      <c r="I192" s="166"/>
      <c r="J192" s="166"/>
      <c r="K192" s="237"/>
      <c r="L192" s="237"/>
      <c r="M192" s="237"/>
      <c r="N192" s="237"/>
      <c r="O192" s="68"/>
      <c r="P192" s="68"/>
      <c r="Q192" s="68"/>
      <c r="R192" s="237"/>
      <c r="S192" s="237"/>
      <c r="T192" s="237"/>
      <c r="U192" s="237"/>
      <c r="V192" s="237"/>
      <c r="W192" s="237"/>
      <c r="X192" s="237"/>
      <c r="Y192" s="229"/>
      <c r="Z192" s="229"/>
      <c r="AA192" s="229"/>
      <c r="AB192" s="229"/>
      <c r="AC192" s="229"/>
      <c r="AD192" s="229"/>
      <c r="AE192" s="229"/>
      <c r="AF192" s="229"/>
      <c r="AG192" s="229"/>
      <c r="AH192" s="229"/>
      <c r="AI192" s="229"/>
      <c r="AJ192" s="67"/>
      <c r="AK192" s="67"/>
      <c r="AL192" s="67"/>
      <c r="AM192" s="67"/>
      <c r="AN192" s="67"/>
      <c r="AO192" s="67"/>
    </row>
    <row r="193" customFormat="false" ht="2.25" hidden="false" customHeight="true" outlineLevel="0" collapsed="false">
      <c r="AO193" s="238"/>
    </row>
    <row r="194" s="88" customFormat="true" ht="10.5" hidden="false" customHeight="true" outlineLevel="0" collapsed="false">
      <c r="A194" s="48" t="s">
        <v>305</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8" customFormat="true" ht="1.5" hidden="false" customHeight="true" outlineLevel="0" collapsed="false">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7"/>
      <c r="AQ195" s="7"/>
      <c r="AR195" s="7"/>
      <c r="AS195" s="7"/>
      <c r="AT195" s="7"/>
      <c r="AU195" s="7"/>
      <c r="AV195" s="7"/>
      <c r="AW195" s="7"/>
      <c r="AX195" s="7"/>
      <c r="AY195" s="7"/>
      <c r="AZ195" s="7"/>
      <c r="BA195" s="7"/>
      <c r="BB195" s="7"/>
      <c r="BC195" s="7"/>
    </row>
    <row r="196" s="88" customFormat="true" ht="10.5" hidden="false" customHeight="true" outlineLevel="0" collapsed="false">
      <c r="A196" s="131" t="s">
        <v>306</v>
      </c>
      <c r="B196" s="131"/>
      <c r="C196" s="131"/>
      <c r="D196" s="131"/>
      <c r="E196" s="131"/>
      <c r="F196" s="131"/>
      <c r="G196" s="131"/>
      <c r="H196" s="131"/>
      <c r="I196" s="131"/>
      <c r="J196" s="131"/>
      <c r="K196" s="131"/>
      <c r="L196" s="131"/>
      <c r="M196" s="131"/>
      <c r="N196" s="215" t="s">
        <v>307</v>
      </c>
      <c r="O196" s="215"/>
      <c r="P196" s="215"/>
      <c r="Q196" s="215"/>
      <c r="R196" s="215"/>
      <c r="S196" s="178"/>
      <c r="T196" s="178"/>
      <c r="U196" s="131" t="s">
        <v>308</v>
      </c>
      <c r="V196" s="131"/>
      <c r="W196" s="131"/>
      <c r="X196" s="131"/>
      <c r="Y196" s="131"/>
      <c r="Z196" s="131"/>
      <c r="AA196" s="131"/>
      <c r="AB196" s="131"/>
      <c r="AC196" s="131"/>
      <c r="AD196" s="131"/>
      <c r="AE196" s="131"/>
      <c r="AF196" s="131"/>
      <c r="AG196" s="131"/>
      <c r="AH196" s="215" t="s">
        <v>307</v>
      </c>
      <c r="AI196" s="215"/>
      <c r="AJ196" s="215"/>
      <c r="AK196" s="215"/>
      <c r="AL196" s="215"/>
      <c r="AM196" s="210"/>
      <c r="AN196" s="210"/>
      <c r="AO196" s="210"/>
      <c r="AP196" s="7"/>
      <c r="AQ196" s="7"/>
      <c r="AR196" s="7"/>
      <c r="AS196" s="7"/>
      <c r="AT196" s="7"/>
      <c r="AU196" s="7"/>
      <c r="AV196" s="7"/>
      <c r="AW196" s="7"/>
      <c r="AX196" s="7"/>
      <c r="AY196" s="7"/>
      <c r="AZ196" s="7"/>
      <c r="BA196" s="7"/>
      <c r="BB196" s="7"/>
      <c r="BC196" s="7"/>
    </row>
    <row r="197" s="88" customFormat="true" ht="10.5" hidden="false" customHeight="true" outlineLevel="0" collapsed="false">
      <c r="A197" s="80" t="s">
        <v>309</v>
      </c>
      <c r="B197" s="80"/>
      <c r="C197" s="80"/>
      <c r="D197" s="80"/>
      <c r="E197" s="80"/>
      <c r="F197" s="80"/>
      <c r="G197" s="80"/>
      <c r="H197" s="80"/>
      <c r="I197" s="80"/>
      <c r="J197" s="80"/>
      <c r="K197" s="80"/>
      <c r="L197" s="80"/>
      <c r="M197" s="80"/>
      <c r="N197" s="240"/>
      <c r="O197" s="240"/>
      <c r="P197" s="240"/>
      <c r="Q197" s="240"/>
      <c r="R197" s="240"/>
      <c r="S197" s="178"/>
      <c r="T197" s="178"/>
      <c r="U197" s="80" t="s">
        <v>310</v>
      </c>
      <c r="V197" s="80"/>
      <c r="W197" s="80"/>
      <c r="X197" s="80"/>
      <c r="Y197" s="80"/>
      <c r="Z197" s="80"/>
      <c r="AA197" s="80"/>
      <c r="AB197" s="80"/>
      <c r="AC197" s="80"/>
      <c r="AD197" s="80"/>
      <c r="AE197" s="80"/>
      <c r="AF197" s="80"/>
      <c r="AG197" s="80"/>
      <c r="AH197" s="240"/>
      <c r="AI197" s="240"/>
      <c r="AJ197" s="240"/>
      <c r="AK197" s="240"/>
      <c r="AL197" s="240"/>
      <c r="AM197" s="210"/>
      <c r="AN197" s="210"/>
      <c r="AO197" s="210"/>
      <c r="AP197" s="7"/>
      <c r="AQ197" s="7"/>
      <c r="AR197" s="7"/>
      <c r="AS197" s="7"/>
      <c r="AT197" s="7"/>
      <c r="AU197" s="7"/>
      <c r="AV197" s="7"/>
      <c r="AW197" s="7"/>
      <c r="AX197" s="7"/>
      <c r="AY197" s="7"/>
      <c r="AZ197" s="7"/>
      <c r="BA197" s="7"/>
      <c r="BB197" s="7"/>
      <c r="BC197" s="7"/>
    </row>
    <row r="198" s="88" customFormat="true" ht="10.5" hidden="false" customHeight="true" outlineLevel="0" collapsed="false">
      <c r="A198" s="80" t="s">
        <v>311</v>
      </c>
      <c r="B198" s="80"/>
      <c r="C198" s="80"/>
      <c r="D198" s="80"/>
      <c r="E198" s="80"/>
      <c r="F198" s="80"/>
      <c r="G198" s="80"/>
      <c r="H198" s="80"/>
      <c r="I198" s="80"/>
      <c r="J198" s="80"/>
      <c r="K198" s="80"/>
      <c r="L198" s="80"/>
      <c r="M198" s="80"/>
      <c r="N198" s="240" t="n">
        <v>41</v>
      </c>
      <c r="O198" s="240"/>
      <c r="P198" s="240"/>
      <c r="Q198" s="240"/>
      <c r="R198" s="240"/>
      <c r="S198" s="178"/>
      <c r="T198" s="178"/>
      <c r="U198" s="80" t="s">
        <v>312</v>
      </c>
      <c r="V198" s="80"/>
      <c r="W198" s="80"/>
      <c r="X198" s="80"/>
      <c r="Y198" s="80"/>
      <c r="Z198" s="80"/>
      <c r="AA198" s="80"/>
      <c r="AB198" s="80"/>
      <c r="AC198" s="80"/>
      <c r="AD198" s="80"/>
      <c r="AE198" s="80"/>
      <c r="AF198" s="80"/>
      <c r="AG198" s="80"/>
      <c r="AH198" s="240" t="n">
        <v>478.06</v>
      </c>
      <c r="AI198" s="240"/>
      <c r="AJ198" s="240"/>
      <c r="AK198" s="240"/>
      <c r="AL198" s="240"/>
      <c r="AM198" s="210"/>
      <c r="AN198" s="210"/>
      <c r="AO198" s="210"/>
      <c r="AP198" s="7"/>
      <c r="AQ198" s="7"/>
      <c r="AR198" s="7"/>
      <c r="AS198" s="7"/>
      <c r="AT198" s="7"/>
      <c r="AU198" s="7"/>
      <c r="AV198" s="7"/>
      <c r="AW198" s="7"/>
      <c r="AX198" s="7"/>
      <c r="AY198" s="7"/>
      <c r="AZ198" s="7"/>
      <c r="BA198" s="7"/>
      <c r="BB198" s="7"/>
      <c r="BC198" s="7"/>
    </row>
    <row r="199" s="88" customFormat="true" ht="10.5" hidden="false" customHeight="true" outlineLevel="0" collapsed="false">
      <c r="A199" s="80" t="s">
        <v>313</v>
      </c>
      <c r="B199" s="80"/>
      <c r="C199" s="80"/>
      <c r="D199" s="80"/>
      <c r="E199" s="80"/>
      <c r="F199" s="80"/>
      <c r="G199" s="80"/>
      <c r="H199" s="80"/>
      <c r="I199" s="80"/>
      <c r="J199" s="80"/>
      <c r="K199" s="80"/>
      <c r="L199" s="80"/>
      <c r="M199" s="80"/>
      <c r="N199" s="240"/>
      <c r="O199" s="240"/>
      <c r="P199" s="240"/>
      <c r="Q199" s="240"/>
      <c r="R199" s="240"/>
      <c r="S199" s="178"/>
      <c r="T199" s="178"/>
      <c r="U199" s="80" t="s">
        <v>314</v>
      </c>
      <c r="V199" s="80"/>
      <c r="W199" s="80"/>
      <c r="X199" s="80"/>
      <c r="Y199" s="80"/>
      <c r="Z199" s="80"/>
      <c r="AA199" s="80"/>
      <c r="AB199" s="80"/>
      <c r="AC199" s="80"/>
      <c r="AD199" s="80"/>
      <c r="AE199" s="80"/>
      <c r="AF199" s="80"/>
      <c r="AG199" s="80"/>
      <c r="AH199" s="240"/>
      <c r="AI199" s="240"/>
      <c r="AJ199" s="240"/>
      <c r="AK199" s="240"/>
      <c r="AL199" s="240"/>
      <c r="AM199" s="210"/>
      <c r="AN199" s="210"/>
      <c r="AO199" s="210"/>
      <c r="AP199" s="7"/>
      <c r="AQ199" s="7"/>
      <c r="AR199" s="7"/>
      <c r="AS199" s="7"/>
      <c r="AT199" s="7"/>
      <c r="AU199" s="7"/>
      <c r="AV199" s="7"/>
      <c r="AW199" s="7"/>
      <c r="AX199" s="7"/>
      <c r="AY199" s="7"/>
      <c r="AZ199" s="7"/>
      <c r="BA199" s="7"/>
      <c r="BB199" s="7"/>
      <c r="BC199" s="7"/>
    </row>
    <row r="200" s="88" customFormat="true" ht="10.5" hidden="false" customHeight="true" outlineLevel="0" collapsed="false">
      <c r="A200" s="80" t="s">
        <v>315</v>
      </c>
      <c r="B200" s="80"/>
      <c r="C200" s="80"/>
      <c r="D200" s="80"/>
      <c r="E200" s="80"/>
      <c r="F200" s="80"/>
      <c r="G200" s="80"/>
      <c r="H200" s="80"/>
      <c r="I200" s="80"/>
      <c r="J200" s="80"/>
      <c r="K200" s="80"/>
      <c r="L200" s="80"/>
      <c r="M200" s="80"/>
      <c r="N200" s="240"/>
      <c r="O200" s="240"/>
      <c r="P200" s="240"/>
      <c r="Q200" s="240"/>
      <c r="R200" s="240"/>
      <c r="S200" s="178"/>
      <c r="T200" s="178"/>
      <c r="U200" s="80" t="s">
        <v>316</v>
      </c>
      <c r="V200" s="80"/>
      <c r="W200" s="80"/>
      <c r="X200" s="80"/>
      <c r="Y200" s="80"/>
      <c r="Z200" s="80"/>
      <c r="AA200" s="80"/>
      <c r="AB200" s="80"/>
      <c r="AC200" s="80"/>
      <c r="AD200" s="80"/>
      <c r="AE200" s="80"/>
      <c r="AF200" s="80"/>
      <c r="AG200" s="80"/>
      <c r="AH200" s="240" t="n">
        <f aca="false">+U190</f>
        <v>0</v>
      </c>
      <c r="AI200" s="240"/>
      <c r="AJ200" s="240"/>
      <c r="AK200" s="240"/>
      <c r="AL200" s="240"/>
      <c r="AM200" s="210"/>
      <c r="AN200" s="210"/>
      <c r="AO200" s="210"/>
      <c r="AP200" s="7"/>
      <c r="AQ200" s="7"/>
      <c r="AR200" s="7"/>
      <c r="AS200" s="7"/>
      <c r="AT200" s="7"/>
      <c r="AU200" s="7"/>
      <c r="AV200" s="7"/>
      <c r="AW200" s="7"/>
      <c r="AX200" s="7"/>
      <c r="AY200" s="7"/>
      <c r="AZ200" s="7"/>
      <c r="BA200" s="7"/>
      <c r="BB200" s="7"/>
      <c r="BC200" s="7"/>
    </row>
    <row r="201" s="88" customFormat="true" ht="10.5" hidden="false" customHeight="true" outlineLevel="0" collapsed="false">
      <c r="A201" s="80" t="s">
        <v>317</v>
      </c>
      <c r="B201" s="80"/>
      <c r="C201" s="80"/>
      <c r="D201" s="80"/>
      <c r="E201" s="80"/>
      <c r="F201" s="80"/>
      <c r="G201" s="80"/>
      <c r="H201" s="80"/>
      <c r="I201" s="80"/>
      <c r="J201" s="80"/>
      <c r="K201" s="80"/>
      <c r="L201" s="80"/>
      <c r="M201" s="80"/>
      <c r="N201" s="240"/>
      <c r="O201" s="240"/>
      <c r="P201" s="240"/>
      <c r="Q201" s="240"/>
      <c r="R201" s="240"/>
      <c r="S201" s="178"/>
      <c r="T201" s="178"/>
      <c r="U201" s="241" t="s">
        <v>318</v>
      </c>
      <c r="V201" s="241"/>
      <c r="W201" s="241"/>
      <c r="X201" s="241"/>
      <c r="Y201" s="241"/>
      <c r="Z201" s="241"/>
      <c r="AA201" s="241"/>
      <c r="AB201" s="241"/>
      <c r="AC201" s="241"/>
      <c r="AD201" s="241"/>
      <c r="AE201" s="241"/>
      <c r="AF201" s="241"/>
      <c r="AG201" s="241"/>
      <c r="AH201" s="221" t="n">
        <f aca="false">SUM(AH197:AO200)</f>
        <v>478.06</v>
      </c>
      <c r="AI201" s="221"/>
      <c r="AJ201" s="221"/>
      <c r="AK201" s="221"/>
      <c r="AL201" s="221"/>
      <c r="AM201" s="210"/>
      <c r="AN201" s="210"/>
      <c r="AO201" s="210"/>
      <c r="AP201" s="7"/>
      <c r="AQ201" s="7"/>
      <c r="AR201" s="7"/>
      <c r="AS201" s="7"/>
      <c r="AT201" s="7"/>
      <c r="AU201" s="7"/>
      <c r="AV201" s="7"/>
      <c r="AW201" s="7"/>
      <c r="AX201" s="7"/>
      <c r="AY201" s="7"/>
      <c r="AZ201" s="7"/>
      <c r="BA201" s="7"/>
      <c r="BB201" s="7"/>
      <c r="BC201" s="7"/>
    </row>
    <row r="202" s="88" customFormat="true" ht="10.5" hidden="false" customHeight="true" outlineLevel="0" collapsed="false">
      <c r="A202" s="241" t="s">
        <v>319</v>
      </c>
      <c r="B202" s="241"/>
      <c r="C202" s="241"/>
      <c r="D202" s="241"/>
      <c r="E202" s="241"/>
      <c r="F202" s="241"/>
      <c r="G202" s="241"/>
      <c r="H202" s="241"/>
      <c r="I202" s="241"/>
      <c r="J202" s="241"/>
      <c r="K202" s="241"/>
      <c r="L202" s="241"/>
      <c r="M202" s="241"/>
      <c r="N202" s="242" t="n">
        <f aca="false">SUM(N197:R201)</f>
        <v>41</v>
      </c>
      <c r="O202" s="242"/>
      <c r="P202" s="242"/>
      <c r="Q202" s="242"/>
      <c r="R202" s="242"/>
      <c r="S202" s="178"/>
      <c r="T202" s="178"/>
      <c r="U202" s="243" t="s">
        <v>320</v>
      </c>
      <c r="V202" s="243"/>
      <c r="W202" s="243"/>
      <c r="X202" s="243"/>
      <c r="Y202" s="243"/>
      <c r="Z202" s="243"/>
      <c r="AA202" s="243"/>
      <c r="AB202" s="243"/>
      <c r="AC202" s="243"/>
      <c r="AD202" s="243"/>
      <c r="AE202" s="243"/>
      <c r="AF202" s="243"/>
      <c r="AG202" s="243"/>
      <c r="AH202" s="244"/>
      <c r="AI202" s="244"/>
      <c r="AJ202" s="244"/>
      <c r="AK202" s="244"/>
      <c r="AL202" s="244"/>
      <c r="AM202" s="210"/>
      <c r="AN202" s="210"/>
      <c r="AO202" s="210"/>
      <c r="AP202" s="7"/>
      <c r="AQ202" s="7"/>
      <c r="AR202" s="7"/>
      <c r="AS202" s="7"/>
      <c r="AT202" s="7"/>
      <c r="AU202" s="7"/>
      <c r="AV202" s="7"/>
      <c r="AW202" s="7"/>
      <c r="AX202" s="7"/>
      <c r="AY202" s="7"/>
      <c r="AZ202" s="7"/>
      <c r="BA202" s="7"/>
      <c r="BB202" s="7"/>
      <c r="BC202" s="7"/>
    </row>
    <row r="203" s="88" customFormat="true" ht="10.5" hidden="false" customHeight="true" outlineLevel="0" collapsed="false">
      <c r="A203" s="243" t="s">
        <v>321</v>
      </c>
      <c r="B203" s="243"/>
      <c r="C203" s="243"/>
      <c r="D203" s="243"/>
      <c r="E203" s="243"/>
      <c r="F203" s="243"/>
      <c r="G203" s="243"/>
      <c r="H203" s="243"/>
      <c r="I203" s="243"/>
      <c r="J203" s="243"/>
      <c r="K203" s="243"/>
      <c r="L203" s="243"/>
      <c r="M203" s="243"/>
      <c r="N203" s="244"/>
      <c r="O203" s="244"/>
      <c r="P203" s="244"/>
      <c r="Q203" s="244"/>
      <c r="R203" s="244"/>
      <c r="S203" s="178"/>
      <c r="T203" s="178"/>
      <c r="U203" s="80" t="s">
        <v>322</v>
      </c>
      <c r="V203" s="80"/>
      <c r="W203" s="80"/>
      <c r="X203" s="80"/>
      <c r="Y203" s="80"/>
      <c r="Z203" s="80"/>
      <c r="AA203" s="80"/>
      <c r="AB203" s="80"/>
      <c r="AC203" s="80"/>
      <c r="AD203" s="80"/>
      <c r="AE203" s="80"/>
      <c r="AF203" s="80"/>
      <c r="AG203" s="80"/>
      <c r="AH203" s="240"/>
      <c r="AI203" s="240"/>
      <c r="AJ203" s="240"/>
      <c r="AK203" s="240"/>
      <c r="AL203" s="240"/>
      <c r="AM203" s="210"/>
      <c r="AN203" s="210"/>
      <c r="AO203" s="210"/>
      <c r="AP203" s="7"/>
      <c r="AQ203" s="7"/>
      <c r="AR203" s="7"/>
      <c r="AS203" s="7"/>
      <c r="AT203" s="7"/>
      <c r="AU203" s="7"/>
      <c r="AV203" s="7"/>
      <c r="AW203" s="7"/>
      <c r="AX203" s="7"/>
      <c r="AY203" s="7"/>
      <c r="AZ203" s="7"/>
      <c r="BA203" s="7"/>
      <c r="BB203" s="7"/>
      <c r="BC203" s="7"/>
    </row>
    <row r="204" s="88" customFormat="true" ht="10.5" hidden="false" customHeight="true" outlineLevel="0" collapsed="false">
      <c r="A204" s="80" t="s">
        <v>323</v>
      </c>
      <c r="B204" s="80"/>
      <c r="C204" s="80"/>
      <c r="D204" s="80"/>
      <c r="E204" s="80"/>
      <c r="F204" s="80"/>
      <c r="G204" s="80"/>
      <c r="H204" s="80"/>
      <c r="I204" s="80"/>
      <c r="J204" s="80"/>
      <c r="K204" s="80"/>
      <c r="L204" s="80"/>
      <c r="M204" s="80"/>
      <c r="N204" s="240" t="n">
        <f aca="false">+AE114</f>
        <v>0</v>
      </c>
      <c r="O204" s="240"/>
      <c r="P204" s="240"/>
      <c r="Q204" s="240"/>
      <c r="R204" s="240"/>
      <c r="S204" s="178"/>
      <c r="T204" s="178"/>
      <c r="U204" s="80" t="s">
        <v>324</v>
      </c>
      <c r="V204" s="80"/>
      <c r="W204" s="80"/>
      <c r="X204" s="80"/>
      <c r="Y204" s="80"/>
      <c r="Z204" s="80"/>
      <c r="AA204" s="80"/>
      <c r="AB204" s="80"/>
      <c r="AC204" s="80"/>
      <c r="AD204" s="80"/>
      <c r="AE204" s="80"/>
      <c r="AF204" s="80"/>
      <c r="AG204" s="80"/>
      <c r="AH204" s="240"/>
      <c r="AI204" s="240"/>
      <c r="AJ204" s="240"/>
      <c r="AK204" s="240"/>
      <c r="AL204" s="240"/>
      <c r="AM204" s="210"/>
      <c r="AN204" s="210"/>
      <c r="AO204" s="210"/>
      <c r="AP204" s="7"/>
      <c r="AQ204" s="7"/>
      <c r="AR204" s="7"/>
      <c r="AS204" s="7"/>
      <c r="AT204" s="7"/>
      <c r="AU204" s="7"/>
      <c r="AV204" s="7"/>
      <c r="AW204" s="7"/>
      <c r="AX204" s="7"/>
      <c r="AY204" s="7"/>
      <c r="AZ204" s="7"/>
      <c r="BA204" s="7"/>
      <c r="BB204" s="7"/>
      <c r="BC204" s="7"/>
    </row>
    <row r="205" s="88" customFormat="true" ht="10.5" hidden="false" customHeight="true" outlineLevel="0" collapsed="false">
      <c r="A205" s="80" t="s">
        <v>325</v>
      </c>
      <c r="B205" s="80"/>
      <c r="C205" s="80"/>
      <c r="D205" s="80"/>
      <c r="E205" s="80"/>
      <c r="F205" s="80"/>
      <c r="G205" s="80"/>
      <c r="H205" s="80"/>
      <c r="I205" s="80"/>
      <c r="J205" s="80"/>
      <c r="K205" s="80"/>
      <c r="L205" s="80"/>
      <c r="M205" s="80"/>
      <c r="N205" s="240" t="n">
        <v>5000</v>
      </c>
      <c r="O205" s="240"/>
      <c r="P205" s="240"/>
      <c r="Q205" s="240"/>
      <c r="R205" s="240"/>
      <c r="S205" s="178"/>
      <c r="T205" s="178"/>
      <c r="U205" s="241" t="s">
        <v>326</v>
      </c>
      <c r="V205" s="241"/>
      <c r="W205" s="241"/>
      <c r="X205" s="241"/>
      <c r="Y205" s="241"/>
      <c r="Z205" s="241"/>
      <c r="AA205" s="241"/>
      <c r="AB205" s="241"/>
      <c r="AC205" s="241"/>
      <c r="AD205" s="241"/>
      <c r="AE205" s="241"/>
      <c r="AF205" s="241"/>
      <c r="AG205" s="241"/>
      <c r="AH205" s="221" t="n">
        <f aca="false">SUM(AH202:AO204)</f>
        <v>0</v>
      </c>
      <c r="AI205" s="221"/>
      <c r="AJ205" s="221"/>
      <c r="AK205" s="221"/>
      <c r="AL205" s="221"/>
      <c r="AM205" s="210"/>
      <c r="AN205" s="210"/>
      <c r="AO205" s="210"/>
      <c r="AP205" s="7"/>
      <c r="AQ205" s="7"/>
      <c r="AR205" s="7"/>
      <c r="AS205" s="7"/>
      <c r="AT205" s="7"/>
      <c r="AU205" s="7"/>
      <c r="AV205" s="7"/>
      <c r="AW205" s="7"/>
      <c r="AX205" s="7"/>
      <c r="AY205" s="7"/>
      <c r="AZ205" s="7"/>
      <c r="BA205" s="7"/>
      <c r="BB205" s="7"/>
      <c r="BC205" s="7"/>
    </row>
    <row r="206" s="88" customFormat="true" ht="10.5" hidden="false" customHeight="true" outlineLevel="0" collapsed="false">
      <c r="A206" s="245" t="s">
        <v>327</v>
      </c>
      <c r="B206" s="245"/>
      <c r="C206" s="245"/>
      <c r="D206" s="245"/>
      <c r="E206" s="245"/>
      <c r="F206" s="245"/>
      <c r="G206" s="245"/>
      <c r="H206" s="245"/>
      <c r="I206" s="245"/>
      <c r="J206" s="245"/>
      <c r="K206" s="245"/>
      <c r="L206" s="245"/>
      <c r="M206" s="245"/>
      <c r="N206" s="246" t="n">
        <f aca="false">SUM(N203:R205)</f>
        <v>5000</v>
      </c>
      <c r="O206" s="246"/>
      <c r="P206" s="246"/>
      <c r="Q206" s="246"/>
      <c r="R206" s="246"/>
      <c r="S206" s="178"/>
      <c r="T206" s="178"/>
      <c r="U206" s="247"/>
      <c r="V206" s="247"/>
      <c r="W206" s="247"/>
      <c r="X206" s="247"/>
      <c r="Y206" s="247"/>
      <c r="Z206" s="247"/>
      <c r="AA206" s="247"/>
      <c r="AB206" s="247"/>
      <c r="AC206" s="247"/>
      <c r="AD206" s="247"/>
      <c r="AE206" s="247"/>
      <c r="AF206" s="247"/>
      <c r="AG206" s="247"/>
      <c r="AH206" s="247"/>
      <c r="AI206" s="247"/>
      <c r="AJ206" s="247"/>
      <c r="AK206" s="247"/>
      <c r="AL206" s="247"/>
      <c r="AM206" s="247"/>
      <c r="AN206" s="247"/>
      <c r="AO206" s="247"/>
      <c r="AP206" s="7"/>
      <c r="AQ206" s="7"/>
      <c r="AR206" s="7"/>
      <c r="AS206" s="7"/>
      <c r="AT206" s="7"/>
      <c r="AU206" s="7"/>
      <c r="AV206" s="7"/>
      <c r="AW206" s="7"/>
      <c r="AX206" s="7"/>
      <c r="AY206" s="7"/>
      <c r="AZ206" s="7"/>
      <c r="BA206" s="7"/>
      <c r="BB206" s="7"/>
      <c r="BC206" s="7"/>
    </row>
    <row r="207" s="88" customFormat="true" ht="10.5" hidden="false" customHeight="true" outlineLevel="0" collapsed="false">
      <c r="A207" s="243" t="s">
        <v>328</v>
      </c>
      <c r="B207" s="243"/>
      <c r="C207" s="243"/>
      <c r="D207" s="243"/>
      <c r="E207" s="243"/>
      <c r="F207" s="243"/>
      <c r="G207" s="243"/>
      <c r="H207" s="243"/>
      <c r="I207" s="243"/>
      <c r="J207" s="243"/>
      <c r="K207" s="243"/>
      <c r="L207" s="243"/>
      <c r="M207" s="243"/>
      <c r="N207" s="244"/>
      <c r="O207" s="244"/>
      <c r="P207" s="244"/>
      <c r="Q207" s="244"/>
      <c r="R207" s="244"/>
      <c r="S207" s="178"/>
      <c r="T207" s="178"/>
      <c r="U207" s="147" t="s">
        <v>329</v>
      </c>
      <c r="V207" s="147"/>
      <c r="W207" s="147"/>
      <c r="X207" s="147"/>
      <c r="Y207" s="147"/>
      <c r="Z207" s="147"/>
      <c r="AA207" s="147"/>
      <c r="AB207" s="147"/>
      <c r="AC207" s="147"/>
      <c r="AD207" s="147"/>
      <c r="AE207" s="147"/>
      <c r="AF207" s="147"/>
      <c r="AG207" s="147"/>
      <c r="AH207" s="248" t="n">
        <f aca="false">AH201+AH205</f>
        <v>478.06</v>
      </c>
      <c r="AI207" s="248"/>
      <c r="AJ207" s="248"/>
      <c r="AK207" s="248"/>
      <c r="AL207" s="248"/>
      <c r="AM207" s="249"/>
      <c r="AN207" s="249"/>
      <c r="AO207" s="249"/>
      <c r="AP207" s="7"/>
      <c r="AQ207" s="7"/>
      <c r="AR207" s="7"/>
      <c r="AS207" s="7"/>
      <c r="AT207" s="7"/>
      <c r="AU207" s="7"/>
      <c r="AV207" s="7"/>
      <c r="AW207" s="7"/>
      <c r="AX207" s="7"/>
      <c r="AY207" s="7"/>
      <c r="AZ207" s="7"/>
      <c r="BA207" s="7"/>
      <c r="BB207" s="7"/>
      <c r="BC207" s="7"/>
    </row>
    <row r="208" s="88" customFormat="true" ht="10.5" hidden="false" customHeight="true" outlineLevel="0" collapsed="false">
      <c r="A208" s="80" t="s">
        <v>330</v>
      </c>
      <c r="B208" s="80"/>
      <c r="C208" s="80"/>
      <c r="D208" s="80"/>
      <c r="E208" s="80"/>
      <c r="F208" s="80"/>
      <c r="G208" s="80"/>
      <c r="H208" s="80"/>
      <c r="I208" s="80"/>
      <c r="J208" s="80"/>
      <c r="K208" s="80"/>
      <c r="L208" s="80"/>
      <c r="M208" s="80"/>
      <c r="N208" s="240"/>
      <c r="O208" s="240"/>
      <c r="P208" s="240"/>
      <c r="Q208" s="240"/>
      <c r="R208" s="240"/>
      <c r="S208" s="178"/>
      <c r="T208" s="178"/>
      <c r="AO208" s="89"/>
      <c r="AP208" s="7"/>
      <c r="AQ208" s="7"/>
      <c r="AR208" s="7"/>
      <c r="AS208" s="7"/>
      <c r="AT208" s="7"/>
      <c r="AU208" s="7"/>
      <c r="AV208" s="7"/>
      <c r="AW208" s="7"/>
      <c r="AX208" s="7"/>
      <c r="AY208" s="7"/>
      <c r="AZ208" s="7"/>
      <c r="BA208" s="7"/>
      <c r="BB208" s="7"/>
      <c r="BC208" s="7"/>
    </row>
    <row r="209" s="88" customFormat="true" ht="10.5" hidden="false" customHeight="true" outlineLevel="0" collapsed="false">
      <c r="A209" s="80" t="s">
        <v>331</v>
      </c>
      <c r="B209" s="80"/>
      <c r="C209" s="80"/>
      <c r="D209" s="80"/>
      <c r="E209" s="80"/>
      <c r="F209" s="80"/>
      <c r="G209" s="80"/>
      <c r="H209" s="80"/>
      <c r="I209" s="80"/>
      <c r="J209" s="80"/>
      <c r="K209" s="80"/>
      <c r="L209" s="80"/>
      <c r="M209" s="80"/>
      <c r="N209" s="240"/>
      <c r="O209" s="240"/>
      <c r="P209" s="240"/>
      <c r="Q209" s="240"/>
      <c r="R209" s="240"/>
      <c r="S209" s="178"/>
      <c r="T209" s="178"/>
      <c r="AO209" s="89"/>
      <c r="AP209" s="7"/>
      <c r="AQ209" s="7"/>
      <c r="AR209" s="7"/>
      <c r="AS209" s="7"/>
      <c r="AT209" s="7"/>
      <c r="AU209" s="7"/>
      <c r="AV209" s="7"/>
      <c r="AW209" s="7"/>
      <c r="AX209" s="7"/>
      <c r="AY209" s="7"/>
      <c r="AZ209" s="7"/>
      <c r="BA209" s="7"/>
      <c r="BB209" s="7"/>
      <c r="BC209" s="7"/>
    </row>
    <row r="210" s="88" customFormat="true" ht="10.5" hidden="false" customHeight="true" outlineLevel="0" collapsed="false">
      <c r="A210" s="80" t="s">
        <v>332</v>
      </c>
      <c r="B210" s="80"/>
      <c r="C210" s="80"/>
      <c r="D210" s="80"/>
      <c r="E210" s="80"/>
      <c r="F210" s="80"/>
      <c r="G210" s="80"/>
      <c r="H210" s="80"/>
      <c r="I210" s="80"/>
      <c r="J210" s="80"/>
      <c r="K210" s="80"/>
      <c r="L210" s="80"/>
      <c r="M210" s="80"/>
      <c r="N210" s="240"/>
      <c r="O210" s="240"/>
      <c r="P210" s="240"/>
      <c r="Q210" s="240"/>
      <c r="R210" s="240"/>
      <c r="S210" s="178"/>
      <c r="T210" s="178"/>
      <c r="U210" s="73" t="s">
        <v>333</v>
      </c>
      <c r="V210" s="73"/>
      <c r="W210" s="73"/>
      <c r="X210" s="73"/>
      <c r="Y210" s="73"/>
      <c r="Z210" s="73"/>
      <c r="AA210" s="73"/>
      <c r="AB210" s="73"/>
      <c r="AC210" s="73"/>
      <c r="AD210" s="73"/>
      <c r="AE210" s="73"/>
      <c r="AF210" s="73"/>
      <c r="AG210" s="73"/>
      <c r="AH210" s="142" t="n">
        <f aca="false">N214-AH207</f>
        <v>4562.94</v>
      </c>
      <c r="AI210" s="142"/>
      <c r="AJ210" s="142"/>
      <c r="AK210" s="142"/>
      <c r="AL210" s="142"/>
      <c r="AM210" s="249"/>
      <c r="AN210" s="249"/>
      <c r="AO210" s="249"/>
      <c r="AP210" s="7"/>
      <c r="AQ210" s="7"/>
      <c r="AR210" s="7"/>
      <c r="AS210" s="7"/>
      <c r="AT210" s="7"/>
      <c r="AU210" s="7"/>
      <c r="AV210" s="7"/>
      <c r="AW210" s="7"/>
      <c r="AX210" s="7"/>
      <c r="AY210" s="7"/>
      <c r="AZ210" s="7"/>
      <c r="BA210" s="7"/>
      <c r="BB210" s="7"/>
      <c r="BC210" s="7"/>
    </row>
    <row r="211" s="88" customFormat="true" ht="10.5" hidden="false" customHeight="true" outlineLevel="0" collapsed="false">
      <c r="A211" s="80" t="s">
        <v>334</v>
      </c>
      <c r="B211" s="80"/>
      <c r="C211" s="80"/>
      <c r="D211" s="80"/>
      <c r="E211" s="80"/>
      <c r="F211" s="80"/>
      <c r="G211" s="80"/>
      <c r="H211" s="80"/>
      <c r="I211" s="80"/>
      <c r="J211" s="80"/>
      <c r="K211" s="80"/>
      <c r="L211" s="80"/>
      <c r="M211" s="80"/>
      <c r="N211" s="240"/>
      <c r="O211" s="240"/>
      <c r="P211" s="240"/>
      <c r="Q211" s="240"/>
      <c r="R211" s="240"/>
      <c r="S211" s="178"/>
      <c r="T211" s="178"/>
      <c r="AO211" s="89"/>
      <c r="AP211" s="7"/>
      <c r="AQ211" s="7"/>
      <c r="AR211" s="7"/>
      <c r="AS211" s="7"/>
      <c r="AT211" s="7"/>
      <c r="AU211" s="7"/>
      <c r="AV211" s="7"/>
      <c r="AW211" s="7"/>
      <c r="AX211" s="7"/>
      <c r="AY211" s="7"/>
      <c r="AZ211" s="7"/>
      <c r="BA211" s="7"/>
      <c r="BB211" s="7"/>
      <c r="BC211" s="7"/>
    </row>
    <row r="212" s="88" customFormat="true" ht="10.5" hidden="false" customHeight="true" outlineLevel="0" collapsed="false">
      <c r="A212" s="241" t="s">
        <v>335</v>
      </c>
      <c r="B212" s="241"/>
      <c r="C212" s="241"/>
      <c r="D212" s="241"/>
      <c r="E212" s="241"/>
      <c r="F212" s="241"/>
      <c r="G212" s="241"/>
      <c r="H212" s="241"/>
      <c r="I212" s="241"/>
      <c r="J212" s="241"/>
      <c r="K212" s="241"/>
      <c r="L212" s="241"/>
      <c r="M212" s="241"/>
      <c r="N212" s="242" t="n">
        <f aca="false">SUM(N207:R211)</f>
        <v>0</v>
      </c>
      <c r="O212" s="242"/>
      <c r="P212" s="242"/>
      <c r="Q212" s="242"/>
      <c r="R212" s="242"/>
      <c r="S212" s="178"/>
      <c r="T212" s="178"/>
      <c r="AO212" s="89"/>
      <c r="AP212" s="7"/>
      <c r="AQ212" s="7"/>
      <c r="AR212" s="7"/>
      <c r="AS212" s="7"/>
      <c r="AT212" s="7"/>
      <c r="AU212" s="7"/>
      <c r="AV212" s="7"/>
      <c r="AW212" s="7"/>
      <c r="AX212" s="7"/>
      <c r="AY212" s="7"/>
      <c r="AZ212" s="7"/>
      <c r="BA212" s="7"/>
      <c r="BB212" s="7"/>
      <c r="BC212" s="7"/>
    </row>
    <row r="213" s="88" customFormat="true" ht="3" hidden="false" customHeight="true" outlineLevel="0" collapsed="false">
      <c r="A213" s="250"/>
      <c r="B213" s="250"/>
      <c r="C213" s="250"/>
      <c r="D213" s="250"/>
      <c r="E213" s="250"/>
      <c r="F213" s="250"/>
      <c r="G213" s="250"/>
      <c r="H213" s="250"/>
      <c r="I213" s="250"/>
      <c r="J213" s="250"/>
      <c r="K213" s="250"/>
      <c r="L213" s="250"/>
      <c r="M213" s="250"/>
      <c r="N213" s="250"/>
      <c r="O213" s="250"/>
      <c r="P213" s="250"/>
      <c r="Q213" s="250"/>
      <c r="R213" s="250"/>
      <c r="S213" s="178"/>
      <c r="T213" s="178"/>
      <c r="AO213" s="89"/>
      <c r="AP213" s="7"/>
      <c r="AQ213" s="7"/>
      <c r="AR213" s="7"/>
      <c r="AS213" s="7"/>
      <c r="AT213" s="7"/>
      <c r="AU213" s="7"/>
      <c r="AV213" s="7"/>
      <c r="AW213" s="7"/>
      <c r="AX213" s="7"/>
      <c r="AY213" s="7"/>
      <c r="AZ213" s="7"/>
      <c r="BA213" s="7"/>
      <c r="BB213" s="7"/>
      <c r="BC213" s="7"/>
    </row>
    <row r="214" s="88" customFormat="true" ht="10.5" hidden="false" customHeight="true" outlineLevel="0" collapsed="false">
      <c r="A214" s="73" t="s">
        <v>336</v>
      </c>
      <c r="B214" s="73"/>
      <c r="C214" s="73"/>
      <c r="D214" s="73"/>
      <c r="E214" s="73"/>
      <c r="F214" s="73"/>
      <c r="G214" s="73"/>
      <c r="H214" s="73"/>
      <c r="I214" s="73"/>
      <c r="J214" s="73"/>
      <c r="K214" s="73"/>
      <c r="L214" s="73"/>
      <c r="M214" s="73"/>
      <c r="N214" s="142" t="n">
        <f aca="false">N202+N206+N212</f>
        <v>5041</v>
      </c>
      <c r="O214" s="142"/>
      <c r="P214" s="142"/>
      <c r="Q214" s="142"/>
      <c r="R214" s="142"/>
      <c r="S214" s="178"/>
      <c r="T214" s="178"/>
      <c r="U214" s="147" t="s">
        <v>337</v>
      </c>
      <c r="V214" s="147"/>
      <c r="W214" s="147"/>
      <c r="X214" s="147"/>
      <c r="Y214" s="147"/>
      <c r="Z214" s="147"/>
      <c r="AA214" s="147"/>
      <c r="AB214" s="147"/>
      <c r="AC214" s="147"/>
      <c r="AD214" s="147"/>
      <c r="AE214" s="147"/>
      <c r="AF214" s="147"/>
      <c r="AG214" s="147"/>
      <c r="AH214" s="248" t="n">
        <f aca="false">AH207+AH210</f>
        <v>5041</v>
      </c>
      <c r="AI214" s="248"/>
      <c r="AJ214" s="248"/>
      <c r="AK214" s="248"/>
      <c r="AL214" s="248"/>
      <c r="AM214" s="251"/>
      <c r="AN214" s="125"/>
      <c r="AO214" s="125"/>
      <c r="AP214" s="38"/>
      <c r="AQ214" s="7"/>
      <c r="AR214" s="7"/>
      <c r="AS214" s="7"/>
      <c r="AT214" s="7"/>
      <c r="AU214" s="7"/>
      <c r="AV214" s="7"/>
      <c r="AW214" s="7"/>
      <c r="AX214" s="7"/>
      <c r="AY214" s="7"/>
      <c r="AZ214" s="7"/>
      <c r="BA214" s="7"/>
      <c r="BB214" s="7"/>
      <c r="BC214" s="7"/>
    </row>
    <row r="215" s="88" customFormat="true" ht="3" hidden="false" customHeight="true" outlineLevel="0" collapsed="false">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38"/>
      <c r="AQ215" s="7"/>
      <c r="AR215" s="7"/>
      <c r="AS215" s="7"/>
      <c r="AT215" s="7"/>
      <c r="AU215" s="7"/>
      <c r="AV215" s="7"/>
      <c r="AW215" s="7"/>
      <c r="AX215" s="7"/>
      <c r="AY215" s="7"/>
      <c r="AZ215" s="7"/>
      <c r="BA215" s="7"/>
      <c r="BB215" s="7"/>
      <c r="BC215" s="7"/>
    </row>
    <row r="216" s="88" customFormat="true" ht="3" hidden="false" customHeight="true" outlineLevel="0" collapsed="false">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38"/>
      <c r="AQ216" s="7"/>
      <c r="AR216" s="7"/>
      <c r="AS216" s="7"/>
      <c r="AT216" s="7"/>
      <c r="AU216" s="7"/>
      <c r="AV216" s="7"/>
      <c r="AW216" s="7"/>
      <c r="AX216" s="7"/>
      <c r="AY216" s="7"/>
      <c r="AZ216" s="7"/>
      <c r="BA216" s="7"/>
      <c r="BB216" s="7"/>
      <c r="BC216" s="7"/>
    </row>
    <row r="217" s="88" customFormat="true" ht="10.5" hidden="false" customHeight="true" outlineLevel="0" collapsed="false">
      <c r="A217" s="131" t="s">
        <v>338</v>
      </c>
      <c r="B217" s="131"/>
      <c r="C217" s="131"/>
      <c r="D217" s="131"/>
      <c r="E217" s="131"/>
      <c r="F217" s="131"/>
      <c r="G217" s="131"/>
      <c r="H217" s="131"/>
      <c r="I217" s="131"/>
      <c r="J217" s="215" t="s">
        <v>307</v>
      </c>
      <c r="K217" s="215"/>
      <c r="L217" s="215"/>
      <c r="M217" s="215"/>
      <c r="N217" s="131" t="s">
        <v>339</v>
      </c>
      <c r="O217" s="131"/>
      <c r="P217" s="131"/>
      <c r="Q217" s="131"/>
      <c r="R217" s="131"/>
      <c r="S217" s="131"/>
      <c r="T217" s="131"/>
      <c r="U217" s="131"/>
      <c r="V217" s="131"/>
      <c r="W217" s="131"/>
      <c r="X217" s="131"/>
      <c r="Y217" s="215" t="s">
        <v>307</v>
      </c>
      <c r="Z217" s="215"/>
      <c r="AA217" s="215"/>
      <c r="AB217" s="215"/>
      <c r="AC217" s="253" t="s">
        <v>340</v>
      </c>
      <c r="AD217" s="253"/>
      <c r="AE217" s="253"/>
      <c r="AF217" s="253"/>
      <c r="AG217" s="253"/>
      <c r="AH217" s="253"/>
      <c r="AI217" s="253"/>
      <c r="AJ217" s="253"/>
      <c r="AK217" s="253"/>
      <c r="AL217" s="253"/>
      <c r="AM217" s="253"/>
      <c r="AN217" s="253"/>
      <c r="AO217" s="253"/>
      <c r="AP217" s="38"/>
      <c r="AQ217" s="7"/>
      <c r="AR217" s="7"/>
      <c r="AS217" s="7"/>
      <c r="AT217" s="7"/>
      <c r="AU217" s="7"/>
      <c r="AV217" s="7"/>
      <c r="AW217" s="7"/>
      <c r="AX217" s="7"/>
      <c r="AY217" s="7"/>
      <c r="AZ217" s="7"/>
      <c r="BA217" s="7"/>
      <c r="BB217" s="7"/>
      <c r="BC217" s="7"/>
    </row>
    <row r="218" s="88" customFormat="true" ht="10.5" hidden="false" customHeight="true" outlineLevel="0" collapsed="false">
      <c r="A218" s="254" t="s">
        <v>341</v>
      </c>
      <c r="B218" s="254"/>
      <c r="C218" s="254"/>
      <c r="D218" s="254"/>
      <c r="E218" s="254"/>
      <c r="F218" s="254"/>
      <c r="G218" s="254"/>
      <c r="H218" s="254"/>
      <c r="I218" s="254"/>
      <c r="J218" s="255" t="n">
        <v>951.54</v>
      </c>
      <c r="K218" s="255"/>
      <c r="L218" s="255"/>
      <c r="M218" s="255"/>
      <c r="N218" s="254" t="s">
        <v>342</v>
      </c>
      <c r="O218" s="254"/>
      <c r="P218" s="254"/>
      <c r="Q218" s="254"/>
      <c r="R218" s="254"/>
      <c r="S218" s="254"/>
      <c r="T218" s="254"/>
      <c r="U218" s="254"/>
      <c r="V218" s="254"/>
      <c r="W218" s="254"/>
      <c r="X218" s="254"/>
      <c r="Y218" s="256" t="n">
        <v>140</v>
      </c>
      <c r="Z218" s="256"/>
      <c r="AA218" s="256"/>
      <c r="AB218" s="256"/>
      <c r="AC218" s="80" t="s">
        <v>343</v>
      </c>
      <c r="AD218" s="80"/>
      <c r="AE218" s="80"/>
      <c r="AF218" s="80"/>
      <c r="AG218" s="80"/>
      <c r="AH218" s="80"/>
      <c r="AI218" s="80"/>
      <c r="AJ218" s="255" t="n">
        <f aca="false">+E146+W114</f>
        <v>0</v>
      </c>
      <c r="AK218" s="255"/>
      <c r="AL218" s="255"/>
      <c r="AM218" s="255"/>
      <c r="AN218" s="255"/>
      <c r="AO218" s="255"/>
      <c r="AP218" s="7"/>
      <c r="AQ218" s="7"/>
      <c r="AR218" s="7"/>
      <c r="AS218" s="7"/>
      <c r="AT218" s="7"/>
      <c r="AU218" s="7"/>
      <c r="AV218" s="7"/>
      <c r="AW218" s="7"/>
      <c r="AX218" s="7"/>
      <c r="AY218" s="7"/>
      <c r="AZ218" s="7"/>
      <c r="BA218" s="7"/>
      <c r="BB218" s="7"/>
      <c r="BC218" s="7"/>
    </row>
    <row r="219" s="88" customFormat="true" ht="10.5" hidden="false" customHeight="true" outlineLevel="0" collapsed="false">
      <c r="A219" s="254" t="s">
        <v>344</v>
      </c>
      <c r="B219" s="254"/>
      <c r="C219" s="254"/>
      <c r="D219" s="254"/>
      <c r="E219" s="254"/>
      <c r="F219" s="254"/>
      <c r="G219" s="254"/>
      <c r="H219" s="254"/>
      <c r="I219" s="254"/>
      <c r="J219" s="255" t="n">
        <f aca="false">+X55</f>
        <v>0</v>
      </c>
      <c r="K219" s="255"/>
      <c r="L219" s="255"/>
      <c r="M219" s="255"/>
      <c r="N219" s="254" t="s">
        <v>345</v>
      </c>
      <c r="O219" s="254"/>
      <c r="P219" s="254"/>
      <c r="Q219" s="254"/>
      <c r="R219" s="254"/>
      <c r="S219" s="254"/>
      <c r="T219" s="254"/>
      <c r="U219" s="254"/>
      <c r="V219" s="254"/>
      <c r="W219" s="254"/>
      <c r="X219" s="254"/>
      <c r="Y219" s="256"/>
      <c r="Z219" s="256"/>
      <c r="AA219" s="256"/>
      <c r="AB219" s="256"/>
      <c r="AC219" s="80" t="s">
        <v>346</v>
      </c>
      <c r="AD219" s="80"/>
      <c r="AE219" s="80"/>
      <c r="AF219" s="80"/>
      <c r="AG219" s="80"/>
      <c r="AH219" s="80"/>
      <c r="AI219" s="80"/>
      <c r="AJ219" s="255"/>
      <c r="AK219" s="255"/>
      <c r="AL219" s="255"/>
      <c r="AM219" s="255"/>
      <c r="AN219" s="255"/>
      <c r="AO219" s="255"/>
      <c r="AP219" s="7"/>
      <c r="AQ219" s="7"/>
      <c r="AR219" s="7"/>
      <c r="AS219" s="7"/>
      <c r="AT219" s="7"/>
      <c r="AU219" s="7"/>
      <c r="AV219" s="7"/>
      <c r="AW219" s="7"/>
      <c r="AX219" s="7"/>
      <c r="AY219" s="7"/>
      <c r="AZ219" s="7"/>
      <c r="BA219" s="7"/>
      <c r="BB219" s="7"/>
      <c r="BC219" s="7"/>
    </row>
    <row r="220" s="88" customFormat="true" ht="10.5" hidden="false" customHeight="true" outlineLevel="0" collapsed="false">
      <c r="A220" s="254" t="s">
        <v>347</v>
      </c>
      <c r="B220" s="254"/>
      <c r="C220" s="254"/>
      <c r="D220" s="254"/>
      <c r="E220" s="254"/>
      <c r="F220" s="254"/>
      <c r="G220" s="254"/>
      <c r="H220" s="254"/>
      <c r="I220" s="254"/>
      <c r="J220" s="240"/>
      <c r="K220" s="240"/>
      <c r="L220" s="240"/>
      <c r="M220" s="240"/>
      <c r="N220" s="254" t="s">
        <v>348</v>
      </c>
      <c r="O220" s="254"/>
      <c r="P220" s="254"/>
      <c r="Q220" s="254"/>
      <c r="R220" s="254"/>
      <c r="S220" s="254"/>
      <c r="T220" s="254"/>
      <c r="U220" s="254"/>
      <c r="V220" s="254"/>
      <c r="W220" s="254"/>
      <c r="X220" s="254"/>
      <c r="Y220" s="256" t="n">
        <v>50</v>
      </c>
      <c r="Z220" s="256"/>
      <c r="AA220" s="256"/>
      <c r="AB220" s="256"/>
      <c r="AC220" s="80" t="s">
        <v>349</v>
      </c>
      <c r="AD220" s="80"/>
      <c r="AE220" s="80"/>
      <c r="AF220" s="80"/>
      <c r="AG220" s="80"/>
      <c r="AH220" s="80"/>
      <c r="AI220" s="80"/>
      <c r="AJ220" s="257" t="n">
        <f aca="false">AJ218-AJ219</f>
        <v>0</v>
      </c>
      <c r="AK220" s="257"/>
      <c r="AL220" s="257"/>
      <c r="AM220" s="257"/>
      <c r="AN220" s="257"/>
      <c r="AO220" s="257"/>
      <c r="AP220" s="7"/>
      <c r="AQ220" s="7"/>
      <c r="AR220" s="7"/>
      <c r="AS220" s="7"/>
      <c r="AT220" s="7"/>
      <c r="AU220" s="7"/>
      <c r="AV220" s="7"/>
      <c r="AW220" s="7"/>
      <c r="AX220" s="7"/>
      <c r="AY220" s="7"/>
      <c r="AZ220" s="7"/>
      <c r="BA220" s="7"/>
      <c r="BB220" s="7"/>
      <c r="BC220" s="7"/>
    </row>
    <row r="221" s="88" customFormat="true" ht="10.5" hidden="false" customHeight="true" outlineLevel="0" collapsed="false">
      <c r="A221" s="254" t="s">
        <v>350</v>
      </c>
      <c r="B221" s="254"/>
      <c r="C221" s="254"/>
      <c r="D221" s="254"/>
      <c r="E221" s="254"/>
      <c r="F221" s="254"/>
      <c r="G221" s="254"/>
      <c r="H221" s="254"/>
      <c r="I221" s="254"/>
      <c r="J221" s="240"/>
      <c r="K221" s="240"/>
      <c r="L221" s="240"/>
      <c r="M221" s="240"/>
      <c r="N221" s="254" t="s">
        <v>351</v>
      </c>
      <c r="O221" s="254"/>
      <c r="P221" s="254"/>
      <c r="Q221" s="254"/>
      <c r="R221" s="254"/>
      <c r="S221" s="254"/>
      <c r="T221" s="254"/>
      <c r="U221" s="254"/>
      <c r="V221" s="254"/>
      <c r="W221" s="254"/>
      <c r="X221" s="254"/>
      <c r="Y221" s="256" t="n">
        <v>50</v>
      </c>
      <c r="Z221" s="256"/>
      <c r="AA221" s="256"/>
      <c r="AB221" s="256"/>
      <c r="AC221" s="80" t="s">
        <v>352</v>
      </c>
      <c r="AD221" s="80"/>
      <c r="AE221" s="80"/>
      <c r="AF221" s="80"/>
      <c r="AG221" s="80"/>
      <c r="AH221" s="80"/>
      <c r="AI221" s="80"/>
      <c r="AJ221" s="137" t="n">
        <f aca="false">R223</f>
        <v>0</v>
      </c>
      <c r="AK221" s="137"/>
      <c r="AL221" s="137"/>
      <c r="AM221" s="137"/>
      <c r="AN221" s="137"/>
      <c r="AO221" s="137"/>
      <c r="AP221" s="7"/>
      <c r="AQ221" s="7"/>
      <c r="AR221" s="7"/>
      <c r="AS221" s="7"/>
      <c r="AT221" s="7"/>
      <c r="AU221" s="7"/>
      <c r="AV221" s="7"/>
      <c r="AW221" s="7"/>
      <c r="AX221" s="7"/>
      <c r="AY221" s="7"/>
      <c r="AZ221" s="7"/>
      <c r="BA221" s="7"/>
      <c r="BB221" s="7"/>
      <c r="BC221" s="7"/>
    </row>
    <row r="222" s="88" customFormat="true" ht="10.5" hidden="false" customHeight="true" outlineLevel="0" collapsed="false">
      <c r="A222" s="254" t="s">
        <v>353</v>
      </c>
      <c r="B222" s="254"/>
      <c r="C222" s="254"/>
      <c r="D222" s="254"/>
      <c r="E222" s="254"/>
      <c r="F222" s="254"/>
      <c r="G222" s="254"/>
      <c r="H222" s="254"/>
      <c r="I222" s="254"/>
      <c r="J222" s="240"/>
      <c r="K222" s="240"/>
      <c r="L222" s="240"/>
      <c r="M222" s="240"/>
      <c r="N222" s="254" t="s">
        <v>354</v>
      </c>
      <c r="O222" s="254"/>
      <c r="P222" s="254"/>
      <c r="Q222" s="254"/>
      <c r="R222" s="254"/>
      <c r="S222" s="254"/>
      <c r="T222" s="254"/>
      <c r="U222" s="254"/>
      <c r="V222" s="254"/>
      <c r="W222" s="254"/>
      <c r="X222" s="254"/>
      <c r="Y222" s="256" t="n">
        <v>50</v>
      </c>
      <c r="Z222" s="256"/>
      <c r="AA222" s="256"/>
      <c r="AB222" s="256"/>
      <c r="AC222" s="80" t="s">
        <v>355</v>
      </c>
      <c r="AD222" s="80"/>
      <c r="AE222" s="80"/>
      <c r="AF222" s="80"/>
      <c r="AG222" s="80"/>
      <c r="AH222" s="80"/>
      <c r="AI222" s="80"/>
      <c r="AJ222" s="137" t="n">
        <f aca="false">AJ220-AJ221</f>
        <v>0</v>
      </c>
      <c r="AK222" s="137"/>
      <c r="AL222" s="137"/>
      <c r="AM222" s="137"/>
      <c r="AN222" s="137"/>
      <c r="AO222" s="137"/>
      <c r="AP222" s="7"/>
      <c r="AQ222" s="7"/>
      <c r="AR222" s="7"/>
      <c r="AS222" s="7"/>
      <c r="AT222" s="7"/>
      <c r="AU222" s="7"/>
      <c r="AV222" s="7"/>
      <c r="AW222" s="7"/>
      <c r="AX222" s="7"/>
      <c r="AY222" s="7"/>
      <c r="AZ222" s="7"/>
      <c r="BA222" s="7"/>
      <c r="BB222" s="7"/>
      <c r="BC222" s="7"/>
    </row>
    <row r="223" s="88" customFormat="true" ht="10.5" hidden="false" customHeight="true" outlineLevel="0" collapsed="false">
      <c r="A223" s="254" t="s">
        <v>356</v>
      </c>
      <c r="B223" s="254"/>
      <c r="C223" s="254"/>
      <c r="D223" s="254"/>
      <c r="E223" s="254"/>
      <c r="F223" s="254"/>
      <c r="G223" s="254"/>
      <c r="H223" s="254"/>
      <c r="I223" s="254"/>
      <c r="J223" s="240"/>
      <c r="K223" s="240"/>
      <c r="L223" s="240"/>
      <c r="M223" s="240"/>
      <c r="N223" s="258" t="s">
        <v>357</v>
      </c>
      <c r="O223" s="258"/>
      <c r="P223" s="258"/>
      <c r="Q223" s="258"/>
      <c r="R223" s="259"/>
      <c r="S223" s="259"/>
      <c r="T223" s="259"/>
      <c r="U223" s="260" t="s">
        <v>96</v>
      </c>
      <c r="V223" s="260"/>
      <c r="W223" s="260"/>
      <c r="X223" s="260"/>
      <c r="Y223" s="256" t="n">
        <v>95.21</v>
      </c>
      <c r="Z223" s="256"/>
      <c r="AA223" s="256"/>
      <c r="AB223" s="256"/>
      <c r="AC223" s="80" t="s">
        <v>358</v>
      </c>
      <c r="AD223" s="80"/>
      <c r="AE223" s="80"/>
      <c r="AF223" s="80"/>
      <c r="AG223" s="80"/>
      <c r="AH223" s="80"/>
      <c r="AI223" s="80"/>
      <c r="AJ223" s="137" t="n">
        <f aca="false">Y228</f>
        <v>485.21</v>
      </c>
      <c r="AK223" s="137"/>
      <c r="AL223" s="137"/>
      <c r="AM223" s="137"/>
      <c r="AN223" s="137"/>
      <c r="AO223" s="137"/>
      <c r="AP223" s="7"/>
      <c r="AQ223" s="7"/>
      <c r="AR223" s="7"/>
      <c r="AS223" s="7"/>
      <c r="AT223" s="7"/>
      <c r="AU223" s="7"/>
      <c r="AV223" s="7"/>
      <c r="AW223" s="7"/>
      <c r="AX223" s="7"/>
      <c r="AY223" s="7"/>
      <c r="AZ223" s="7"/>
      <c r="BA223" s="7"/>
      <c r="BB223" s="7"/>
      <c r="BC223" s="7"/>
    </row>
    <row r="224" s="88" customFormat="true" ht="10.5" hidden="false" customHeight="true" outlineLevel="0" collapsed="false">
      <c r="A224" s="254" t="s">
        <v>359</v>
      </c>
      <c r="B224" s="254"/>
      <c r="C224" s="254"/>
      <c r="D224" s="254"/>
      <c r="E224" s="254"/>
      <c r="F224" s="254"/>
      <c r="G224" s="254"/>
      <c r="H224" s="254"/>
      <c r="I224" s="254"/>
      <c r="J224" s="240"/>
      <c r="K224" s="240"/>
      <c r="L224" s="240"/>
      <c r="M224" s="240"/>
      <c r="N224" s="254" t="s">
        <v>360</v>
      </c>
      <c r="O224" s="254"/>
      <c r="P224" s="254"/>
      <c r="Q224" s="254"/>
      <c r="R224" s="254"/>
      <c r="S224" s="254"/>
      <c r="T224" s="254"/>
      <c r="U224" s="254"/>
      <c r="V224" s="254"/>
      <c r="W224" s="254"/>
      <c r="X224" s="254"/>
      <c r="Y224" s="256" t="n">
        <v>50</v>
      </c>
      <c r="Z224" s="256"/>
      <c r="AA224" s="256"/>
      <c r="AB224" s="256"/>
      <c r="AC224" s="80" t="s">
        <v>361</v>
      </c>
      <c r="AD224" s="80"/>
      <c r="AE224" s="80"/>
      <c r="AF224" s="80"/>
      <c r="AG224" s="80"/>
      <c r="AH224" s="80"/>
      <c r="AI224" s="80"/>
      <c r="AJ224" s="137" t="n">
        <f aca="false">J218+J219</f>
        <v>951.54</v>
      </c>
      <c r="AK224" s="137"/>
      <c r="AL224" s="137"/>
      <c r="AM224" s="137"/>
      <c r="AN224" s="137"/>
      <c r="AO224" s="137"/>
      <c r="AP224" s="7"/>
      <c r="AQ224" s="7"/>
      <c r="AR224" s="7"/>
      <c r="AS224" s="7"/>
      <c r="AT224" s="7"/>
      <c r="AU224" s="7"/>
      <c r="AV224" s="7"/>
      <c r="AW224" s="7"/>
      <c r="AX224" s="7"/>
      <c r="AY224" s="7"/>
      <c r="AZ224" s="7"/>
      <c r="BA224" s="7"/>
      <c r="BB224" s="7"/>
      <c r="BC224" s="7"/>
    </row>
    <row r="225" s="88" customFormat="true" ht="10.5" hidden="false" customHeight="true" outlineLevel="0" collapsed="false">
      <c r="A225" s="254" t="s">
        <v>362</v>
      </c>
      <c r="B225" s="254"/>
      <c r="C225" s="254"/>
      <c r="D225" s="254"/>
      <c r="E225" s="254"/>
      <c r="F225" s="254"/>
      <c r="G225" s="254"/>
      <c r="H225" s="254"/>
      <c r="I225" s="254"/>
      <c r="J225" s="240"/>
      <c r="K225" s="240"/>
      <c r="L225" s="240"/>
      <c r="M225" s="240"/>
      <c r="N225" s="254" t="s">
        <v>363</v>
      </c>
      <c r="O225" s="254"/>
      <c r="P225" s="254"/>
      <c r="Q225" s="254"/>
      <c r="R225" s="254"/>
      <c r="S225" s="254"/>
      <c r="T225" s="254"/>
      <c r="U225" s="254"/>
      <c r="V225" s="254"/>
      <c r="W225" s="254"/>
      <c r="X225" s="254"/>
      <c r="Y225" s="256"/>
      <c r="Z225" s="256"/>
      <c r="AA225" s="256"/>
      <c r="AB225" s="256"/>
      <c r="AC225" s="80" t="s">
        <v>364</v>
      </c>
      <c r="AD225" s="80"/>
      <c r="AE225" s="80"/>
      <c r="AF225" s="80"/>
      <c r="AG225" s="80"/>
      <c r="AH225" s="80"/>
      <c r="AI225" s="80"/>
      <c r="AJ225" s="257" t="n">
        <f aca="false">AJ222-AJ223+AJ224</f>
        <v>466.33</v>
      </c>
      <c r="AK225" s="257"/>
      <c r="AL225" s="257"/>
      <c r="AM225" s="257"/>
      <c r="AN225" s="257"/>
      <c r="AO225" s="257"/>
      <c r="AP225" s="7"/>
      <c r="AQ225" s="7"/>
      <c r="AR225" s="7"/>
      <c r="AS225" s="7"/>
      <c r="AT225" s="7"/>
      <c r="AU225" s="7"/>
      <c r="AV225" s="7"/>
      <c r="AW225" s="7"/>
      <c r="AX225" s="7"/>
      <c r="AY225" s="7"/>
      <c r="AZ225" s="7"/>
      <c r="BA225" s="7"/>
      <c r="BB225" s="7"/>
      <c r="BC225" s="7"/>
    </row>
    <row r="226" s="88" customFormat="true" ht="10.5" hidden="false" customHeight="true" outlineLevel="0" collapsed="false">
      <c r="A226" s="254" t="s">
        <v>365</v>
      </c>
      <c r="B226" s="254"/>
      <c r="C226" s="254"/>
      <c r="D226" s="254"/>
      <c r="E226" s="254"/>
      <c r="F226" s="254"/>
      <c r="G226" s="254"/>
      <c r="H226" s="254"/>
      <c r="I226" s="254"/>
      <c r="J226" s="240"/>
      <c r="K226" s="240"/>
      <c r="L226" s="240"/>
      <c r="M226" s="240"/>
      <c r="N226" s="254" t="s">
        <v>366</v>
      </c>
      <c r="O226" s="254"/>
      <c r="P226" s="254"/>
      <c r="Q226" s="254"/>
      <c r="R226" s="254"/>
      <c r="S226" s="254"/>
      <c r="T226" s="254"/>
      <c r="U226" s="254"/>
      <c r="V226" s="254"/>
      <c r="W226" s="254"/>
      <c r="X226" s="254"/>
      <c r="Y226" s="256" t="n">
        <v>50</v>
      </c>
      <c r="Z226" s="256"/>
      <c r="AA226" s="256"/>
      <c r="AB226" s="256"/>
      <c r="AC226" s="196"/>
      <c r="AD226" s="196"/>
      <c r="AE226" s="196"/>
      <c r="AF226" s="196"/>
      <c r="AG226" s="196"/>
      <c r="AH226" s="196"/>
      <c r="AI226" s="196"/>
      <c r="AJ226" s="196"/>
      <c r="AK226" s="196"/>
      <c r="AL226" s="196"/>
      <c r="AM226" s="196"/>
      <c r="AN226" s="196"/>
      <c r="AO226" s="196"/>
      <c r="AP226" s="7"/>
      <c r="AQ226" s="7"/>
      <c r="AR226" s="7"/>
      <c r="AS226" s="7"/>
      <c r="AT226" s="7"/>
      <c r="AU226" s="7"/>
      <c r="AV226" s="7"/>
      <c r="AW226" s="7"/>
      <c r="AX226" s="7"/>
      <c r="AY226" s="7"/>
      <c r="AZ226" s="7"/>
      <c r="BA226" s="7"/>
      <c r="BB226" s="7"/>
      <c r="BC226" s="7"/>
    </row>
    <row r="227" s="88" customFormat="true" ht="10.5" hidden="false" customHeight="true" outlineLevel="0" collapsed="false">
      <c r="A227" s="261"/>
      <c r="B227" s="261"/>
      <c r="C227" s="261"/>
      <c r="D227" s="261"/>
      <c r="E227" s="261"/>
      <c r="F227" s="261"/>
      <c r="G227" s="261"/>
      <c r="H227" s="261"/>
      <c r="I227" s="261"/>
      <c r="J227" s="262"/>
      <c r="K227" s="262"/>
      <c r="L227" s="262"/>
      <c r="M227" s="262"/>
      <c r="N227" s="254" t="s">
        <v>367</v>
      </c>
      <c r="O227" s="254"/>
      <c r="P227" s="254"/>
      <c r="Q227" s="254"/>
      <c r="R227" s="254"/>
      <c r="S227" s="254"/>
      <c r="T227" s="254"/>
      <c r="U227" s="254"/>
      <c r="V227" s="254"/>
      <c r="W227" s="254"/>
      <c r="X227" s="254"/>
      <c r="Y227" s="256"/>
      <c r="Z227" s="256"/>
      <c r="AA227" s="256"/>
      <c r="AB227" s="256"/>
      <c r="AC227" s="254" t="s">
        <v>368</v>
      </c>
      <c r="AD227" s="254"/>
      <c r="AE227" s="254"/>
      <c r="AF227" s="254"/>
      <c r="AG227" s="254"/>
      <c r="AH227" s="254"/>
      <c r="AI227" s="254"/>
      <c r="AJ227" s="257" t="n">
        <f aca="false">AJ225*0.7</f>
        <v>326.431</v>
      </c>
      <c r="AK227" s="257"/>
      <c r="AL227" s="257"/>
      <c r="AM227" s="257"/>
      <c r="AN227" s="257"/>
      <c r="AO227" s="257"/>
      <c r="AP227" s="7"/>
      <c r="AQ227" s="7"/>
      <c r="AR227" s="7"/>
      <c r="AS227" s="7"/>
      <c r="AT227" s="7"/>
      <c r="AU227" s="7"/>
      <c r="AV227" s="7"/>
      <c r="AW227" s="7"/>
      <c r="AX227" s="7"/>
      <c r="AY227" s="7"/>
      <c r="AZ227" s="7"/>
      <c r="BA227" s="7"/>
      <c r="BB227" s="7"/>
      <c r="BC227" s="7"/>
    </row>
    <row r="228" s="88" customFormat="true" ht="10.5" hidden="false" customHeight="true" outlineLevel="0" collapsed="false">
      <c r="A228" s="263" t="s">
        <v>369</v>
      </c>
      <c r="B228" s="263"/>
      <c r="C228" s="263"/>
      <c r="D228" s="263"/>
      <c r="E228" s="263"/>
      <c r="F228" s="263"/>
      <c r="G228" s="263"/>
      <c r="H228" s="263"/>
      <c r="I228" s="263"/>
      <c r="J228" s="221" t="n">
        <f aca="false">SUM(J218:L226)</f>
        <v>951.54</v>
      </c>
      <c r="K228" s="221"/>
      <c r="L228" s="221"/>
      <c r="M228" s="221"/>
      <c r="N228" s="263" t="s">
        <v>370</v>
      </c>
      <c r="O228" s="263"/>
      <c r="P228" s="263"/>
      <c r="Q228" s="263"/>
      <c r="R228" s="263"/>
      <c r="S228" s="263"/>
      <c r="T228" s="263"/>
      <c r="U228" s="263"/>
      <c r="V228" s="263"/>
      <c r="W228" s="263"/>
      <c r="X228" s="263"/>
      <c r="Y228" s="221" t="n">
        <f aca="false">SUM(Y218:AA227)</f>
        <v>485.21</v>
      </c>
      <c r="Z228" s="221"/>
      <c r="AA228" s="221"/>
      <c r="AB228" s="221"/>
      <c r="AC228" s="264" t="s">
        <v>371</v>
      </c>
      <c r="AD228" s="264"/>
      <c r="AE228" s="264"/>
      <c r="AF228" s="264"/>
      <c r="AG228" s="264"/>
      <c r="AH228" s="264"/>
      <c r="AI228" s="264"/>
      <c r="AJ228" s="221" t="n">
        <f aca="false">AJ225*0.5</f>
        <v>233.165</v>
      </c>
      <c r="AK228" s="221"/>
      <c r="AL228" s="221"/>
      <c r="AM228" s="221"/>
      <c r="AN228" s="221"/>
      <c r="AO228" s="221"/>
      <c r="AP228" s="7"/>
      <c r="AQ228" s="7"/>
      <c r="AR228" s="7"/>
      <c r="AS228" s="7"/>
      <c r="AT228" s="7"/>
      <c r="AU228" s="7"/>
      <c r="AV228" s="7"/>
      <c r="AW228" s="7"/>
      <c r="AX228" s="7"/>
      <c r="AY228" s="7"/>
      <c r="AZ228" s="7"/>
      <c r="BA228" s="7"/>
      <c r="BB228" s="7"/>
      <c r="BC228" s="7"/>
    </row>
    <row r="229" s="88" customFormat="true" ht="10.5" hidden="false" customHeight="true" outlineLevel="0" collapsed="false">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7"/>
      <c r="AQ229" s="7"/>
      <c r="AR229" s="7"/>
      <c r="AS229" s="7"/>
      <c r="AT229" s="7"/>
      <c r="AU229" s="7"/>
      <c r="AV229" s="7"/>
      <c r="AW229" s="7"/>
      <c r="AX229" s="7"/>
      <c r="AY229" s="7"/>
      <c r="AZ229" s="7"/>
      <c r="BA229" s="7"/>
      <c r="BB229" s="7"/>
      <c r="BC229" s="7"/>
    </row>
    <row r="230" s="88" customFormat="true" ht="10.5" hidden="false" customHeight="true" outlineLevel="0" collapsed="false">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7"/>
      <c r="AQ230" s="7"/>
      <c r="AR230" s="7"/>
      <c r="AS230" s="7"/>
      <c r="AT230" s="7"/>
      <c r="AU230" s="7"/>
      <c r="AV230" s="7"/>
      <c r="AW230" s="7"/>
      <c r="AX230" s="7"/>
      <c r="AY230" s="7"/>
      <c r="AZ230" s="7"/>
      <c r="BA230" s="7"/>
      <c r="BB230" s="7"/>
      <c r="BC230" s="7"/>
    </row>
    <row r="231" s="88" customFormat="true" ht="10.5" hidden="false" customHeight="true" outlineLevel="0" collapsed="false">
      <c r="A231" s="73" t="s">
        <v>372</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
      <c r="AQ231" s="7"/>
      <c r="AR231" s="7"/>
      <c r="AS231" s="7"/>
      <c r="AT231" s="7"/>
      <c r="AU231" s="7"/>
      <c r="AV231" s="7"/>
      <c r="AW231" s="7"/>
      <c r="AX231" s="7"/>
      <c r="AY231" s="7"/>
      <c r="AZ231" s="7"/>
      <c r="BA231" s="7"/>
      <c r="BB231" s="7"/>
      <c r="BC231" s="7"/>
    </row>
    <row r="232" s="88" customFormat="true" ht="10.5" hidden="false" customHeight="true" outlineLevel="0" collapsed="false">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c r="AP232" s="7"/>
      <c r="AQ232" s="7"/>
      <c r="AR232" s="7"/>
      <c r="AS232" s="7"/>
      <c r="AT232" s="7"/>
      <c r="AU232" s="7"/>
      <c r="AV232" s="7"/>
      <c r="AW232" s="7"/>
      <c r="AX232" s="7"/>
      <c r="AY232" s="7"/>
      <c r="AZ232" s="7"/>
      <c r="BA232" s="7"/>
      <c r="BB232" s="7"/>
      <c r="BC232" s="7"/>
    </row>
    <row r="233" s="88" customFormat="true" ht="10.5" hidden="false" customHeight="true" outlineLevel="0" collapsed="false">
      <c r="A233" s="96" t="s">
        <v>373</v>
      </c>
      <c r="B233" s="96"/>
      <c r="C233" s="96"/>
      <c r="D233" s="96"/>
      <c r="E233" s="96"/>
      <c r="F233" s="96"/>
      <c r="G233" s="96"/>
      <c r="H233" s="96"/>
      <c r="I233" s="96"/>
      <c r="J233" s="96"/>
      <c r="K233" s="96"/>
      <c r="L233" s="7"/>
      <c r="M233" s="7"/>
      <c r="N233" s="7"/>
      <c r="O233" s="7"/>
      <c r="P233" s="7"/>
      <c r="Q233" s="7"/>
      <c r="R233" s="7"/>
      <c r="S233" s="7"/>
      <c r="T233" s="7"/>
      <c r="U233" s="78" t="s">
        <v>374</v>
      </c>
      <c r="V233" s="78"/>
      <c r="W233" s="78"/>
      <c r="X233" s="78"/>
      <c r="Y233" s="78"/>
      <c r="Z233" s="78"/>
      <c r="AA233" s="78"/>
      <c r="AB233" s="78"/>
      <c r="AC233" s="78"/>
      <c r="AD233" s="78"/>
      <c r="AE233" s="78"/>
      <c r="AF233" s="78"/>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8"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8" customFormat="true" ht="10.5" hidden="false" customHeight="true" outlineLevel="0" collapsed="false">
      <c r="A235" s="254" t="s">
        <v>375</v>
      </c>
      <c r="B235" s="254"/>
      <c r="C235" s="254"/>
      <c r="D235" s="254"/>
      <c r="E235" s="254"/>
      <c r="F235" s="254"/>
      <c r="G235" s="254"/>
      <c r="H235" s="265" t="n">
        <f aca="false">IFERROR(N202/AH201,"-")</f>
        <v>0.0857632933104631</v>
      </c>
      <c r="I235" s="265"/>
      <c r="J235" s="265"/>
      <c r="K235" s="265"/>
      <c r="L235" s="7"/>
      <c r="M235" s="7"/>
      <c r="N235" s="7"/>
      <c r="O235" s="7"/>
      <c r="P235" s="7"/>
      <c r="Q235" s="7"/>
      <c r="R235" s="7"/>
      <c r="S235" s="7"/>
      <c r="T235" s="7"/>
      <c r="U235" s="266" t="s">
        <v>376</v>
      </c>
      <c r="V235" s="266"/>
      <c r="W235" s="266"/>
      <c r="X235" s="266"/>
      <c r="Y235" s="266"/>
      <c r="Z235" s="266"/>
      <c r="AA235" s="266"/>
      <c r="AB235" s="266"/>
      <c r="AC235" s="267" t="str">
        <f aca="false">IFERROR(N200/((AJ218*12)/360),"-")</f>
        <v>-</v>
      </c>
      <c r="AD235" s="267"/>
      <c r="AE235" s="267"/>
      <c r="AF235" s="267"/>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8"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8" customFormat="true" ht="10.5" hidden="false" customHeight="true" outlineLevel="0" collapsed="false">
      <c r="A237" s="254" t="s">
        <v>377</v>
      </c>
      <c r="B237" s="254"/>
      <c r="C237" s="254"/>
      <c r="D237" s="254"/>
      <c r="E237" s="254"/>
      <c r="F237" s="254"/>
      <c r="G237" s="254"/>
      <c r="H237" s="267" t="n">
        <f aca="false">IFERROR((N202-N201)/AH201,"-")</f>
        <v>0.0857632933104631</v>
      </c>
      <c r="I237" s="267"/>
      <c r="J237" s="267"/>
      <c r="K237" s="267"/>
      <c r="L237" s="7"/>
      <c r="M237" s="7"/>
      <c r="N237" s="7"/>
      <c r="O237" s="7"/>
      <c r="P237" s="7"/>
      <c r="Q237" s="7"/>
      <c r="R237" s="7"/>
      <c r="S237" s="7"/>
      <c r="T237" s="7"/>
      <c r="U237" s="266" t="s">
        <v>378</v>
      </c>
      <c r="V237" s="266"/>
      <c r="W237" s="266"/>
      <c r="X237" s="266"/>
      <c r="Y237" s="266"/>
      <c r="Z237" s="266"/>
      <c r="AA237" s="266"/>
      <c r="AB237" s="266"/>
      <c r="AC237" s="267" t="str">
        <f aca="false">IFERROR((AH197+AH204)/((AJ219*12)/360),"-")</f>
        <v>-</v>
      </c>
      <c r="AD237" s="267"/>
      <c r="AE237" s="267"/>
      <c r="AF237" s="267"/>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8"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8" customFormat="true" ht="10.5" hidden="false" customHeight="true" outlineLevel="0" collapsed="false">
      <c r="A239" s="254" t="s">
        <v>379</v>
      </c>
      <c r="B239" s="254"/>
      <c r="C239" s="254"/>
      <c r="D239" s="254"/>
      <c r="E239" s="254"/>
      <c r="F239" s="254"/>
      <c r="G239" s="254"/>
      <c r="H239" s="260" t="n">
        <f aca="false">IFERROR(N202-AH201,"-")</f>
        <v>-437.06</v>
      </c>
      <c r="I239" s="260"/>
      <c r="J239" s="260"/>
      <c r="K239" s="260"/>
      <c r="L239" s="7"/>
      <c r="M239" s="7"/>
      <c r="N239" s="7"/>
      <c r="O239" s="7"/>
      <c r="P239" s="7"/>
      <c r="Q239" s="7"/>
      <c r="R239" s="7"/>
      <c r="S239" s="7"/>
      <c r="T239" s="7"/>
      <c r="U239" s="266" t="s">
        <v>380</v>
      </c>
      <c r="V239" s="266"/>
      <c r="W239" s="266"/>
      <c r="X239" s="266"/>
      <c r="Y239" s="266"/>
      <c r="Z239" s="266"/>
      <c r="AA239" s="266"/>
      <c r="AB239" s="266"/>
      <c r="AC239" s="267" t="str">
        <f aca="false">IFERROR(N201/((AJ219*12)/360),"-")</f>
        <v>-</v>
      </c>
      <c r="AD239" s="267"/>
      <c r="AE239" s="267"/>
      <c r="AF239" s="267"/>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8"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8" customFormat="true" ht="10.5" hidden="false" customHeight="true" outlineLevel="0" collapsed="false">
      <c r="A241" s="254" t="s">
        <v>381</v>
      </c>
      <c r="B241" s="254"/>
      <c r="C241" s="254"/>
      <c r="D241" s="254"/>
      <c r="E241" s="254"/>
      <c r="F241" s="254"/>
      <c r="G241" s="254"/>
      <c r="H241" s="265" t="n">
        <f aca="false">IFERROR(P12/AJ225,"-")</f>
        <v>0.374313051077514</v>
      </c>
      <c r="I241" s="265"/>
      <c r="J241" s="265"/>
      <c r="K241" s="265"/>
      <c r="L241" s="7"/>
      <c r="M241" s="7"/>
      <c r="N241" s="7"/>
      <c r="O241" s="7"/>
      <c r="P241" s="7"/>
      <c r="Q241" s="7"/>
      <c r="R241" s="7"/>
      <c r="S241" s="7"/>
      <c r="T241" s="7"/>
      <c r="U241" s="266" t="s">
        <v>382</v>
      </c>
      <c r="V241" s="266"/>
      <c r="W241" s="266"/>
      <c r="X241" s="266"/>
      <c r="Y241" s="266"/>
      <c r="Z241" s="266"/>
      <c r="AA241" s="266"/>
      <c r="AB241" s="266"/>
      <c r="AC241" s="267" t="n">
        <f aca="false">IFERROR(AJ218/N214,"-")</f>
        <v>0</v>
      </c>
      <c r="AD241" s="267"/>
      <c r="AE241" s="267"/>
      <c r="AF241" s="267"/>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8"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8" customFormat="true" ht="10.5" hidden="false" customHeight="true" outlineLevel="0" collapsed="false">
      <c r="A243" s="96" t="s">
        <v>383</v>
      </c>
      <c r="B243" s="96"/>
      <c r="C243" s="96"/>
      <c r="D243" s="96"/>
      <c r="E243" s="96"/>
      <c r="F243" s="96"/>
      <c r="G243" s="96"/>
      <c r="H243" s="96"/>
      <c r="I243" s="96"/>
      <c r="J243" s="96"/>
      <c r="K243" s="96"/>
      <c r="L243" s="96"/>
      <c r="M243" s="7"/>
      <c r="N243" s="7"/>
      <c r="O243" s="7"/>
      <c r="P243" s="7"/>
      <c r="Q243" s="7"/>
      <c r="R243" s="7"/>
      <c r="S243" s="7"/>
      <c r="T243" s="7"/>
      <c r="U243" s="78" t="s">
        <v>384</v>
      </c>
      <c r="V243" s="78"/>
      <c r="W243" s="78"/>
      <c r="X243" s="78"/>
      <c r="Y243" s="78"/>
      <c r="Z243" s="78"/>
      <c r="AA243" s="78"/>
      <c r="AB243" s="78"/>
      <c r="AC243" s="78"/>
      <c r="AD243" s="78"/>
      <c r="AE243" s="78"/>
      <c r="AF243" s="78"/>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8"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8" customFormat="true" ht="10.5" hidden="false" customHeight="true" outlineLevel="0" collapsed="false">
      <c r="A245" s="254" t="s">
        <v>385</v>
      </c>
      <c r="B245" s="254"/>
      <c r="C245" s="254"/>
      <c r="D245" s="254"/>
      <c r="E245" s="254"/>
      <c r="F245" s="254"/>
      <c r="G245" s="254"/>
      <c r="H245" s="254"/>
      <c r="I245" s="265" t="str">
        <f aca="false">IFERROR(AJ222/AJ218,"-")</f>
        <v>-</v>
      </c>
      <c r="J245" s="265"/>
      <c r="K245" s="265"/>
      <c r="L245" s="265"/>
      <c r="M245" s="7"/>
      <c r="N245" s="7"/>
      <c r="O245" s="7"/>
      <c r="P245" s="7"/>
      <c r="Q245" s="7"/>
      <c r="R245" s="7"/>
      <c r="S245" s="7"/>
      <c r="T245" s="7"/>
      <c r="U245" s="266" t="s">
        <v>386</v>
      </c>
      <c r="V245" s="266"/>
      <c r="W245" s="266"/>
      <c r="X245" s="266"/>
      <c r="Y245" s="266"/>
      <c r="Z245" s="266"/>
      <c r="AA245" s="266"/>
      <c r="AB245" s="266"/>
      <c r="AC245" s="265" t="n">
        <f aca="false">IFERROR(AH201/AH207,"-")</f>
        <v>1</v>
      </c>
      <c r="AD245" s="265"/>
      <c r="AE245" s="265"/>
      <c r="AF245" s="265"/>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8"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8" customFormat="true" ht="10.5" hidden="false" customHeight="true" outlineLevel="0" collapsed="false">
      <c r="A247" s="254" t="s">
        <v>387</v>
      </c>
      <c r="B247" s="254"/>
      <c r="C247" s="254"/>
      <c r="D247" s="254"/>
      <c r="E247" s="254"/>
      <c r="F247" s="254"/>
      <c r="G247" s="254"/>
      <c r="H247" s="254"/>
      <c r="I247" s="265" t="n">
        <f aca="false">IFERROR(AJ222/AH210,"-")</f>
        <v>0</v>
      </c>
      <c r="J247" s="265"/>
      <c r="K247" s="265"/>
      <c r="L247" s="265"/>
      <c r="M247" s="7"/>
      <c r="N247" s="7"/>
      <c r="O247" s="7"/>
      <c r="P247" s="7"/>
      <c r="Q247" s="7"/>
      <c r="R247" s="7"/>
      <c r="S247" s="7"/>
      <c r="T247" s="7"/>
      <c r="U247" s="266" t="s">
        <v>388</v>
      </c>
      <c r="V247" s="266"/>
      <c r="W247" s="266"/>
      <c r="X247" s="266"/>
      <c r="Y247" s="266"/>
      <c r="Z247" s="266"/>
      <c r="AA247" s="266"/>
      <c r="AB247" s="266"/>
      <c r="AC247" s="265" t="n">
        <f aca="false">IFERROR(AH207/N214,"-")</f>
        <v>0.0948343582622496</v>
      </c>
      <c r="AD247" s="265"/>
      <c r="AE247" s="265"/>
      <c r="AF247" s="265"/>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8"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8" customFormat="true" ht="10.5" hidden="false" customHeight="true" outlineLevel="0" collapsed="false">
      <c r="A249" s="254" t="s">
        <v>389</v>
      </c>
      <c r="B249" s="254"/>
      <c r="C249" s="254"/>
      <c r="D249" s="254"/>
      <c r="E249" s="254"/>
      <c r="F249" s="254"/>
      <c r="G249" s="254"/>
      <c r="H249" s="254"/>
      <c r="I249" s="265" t="n">
        <f aca="false">IFERROR(AJ222/N214,"-")</f>
        <v>0</v>
      </c>
      <c r="J249" s="265"/>
      <c r="K249" s="265"/>
      <c r="L249" s="265"/>
      <c r="M249" s="7"/>
      <c r="N249" s="7"/>
      <c r="O249" s="7"/>
      <c r="P249" s="7"/>
      <c r="Q249" s="7"/>
      <c r="R249" s="7"/>
      <c r="S249" s="7"/>
      <c r="T249" s="7"/>
      <c r="U249" s="266" t="s">
        <v>390</v>
      </c>
      <c r="V249" s="266"/>
      <c r="W249" s="266"/>
      <c r="X249" s="266"/>
      <c r="Y249" s="266"/>
      <c r="Z249" s="266"/>
      <c r="AA249" s="266"/>
      <c r="AB249" s="266"/>
      <c r="AC249" s="265" t="n">
        <f aca="false">IFERROR(AH207/AH210,"-")</f>
        <v>0.104770170109622</v>
      </c>
      <c r="AD249" s="265"/>
      <c r="AE249" s="265"/>
      <c r="AF249" s="265"/>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8"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8"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8" customFormat="true" ht="10.5" hidden="false" customHeight="true" outlineLevel="0" collapsed="false">
      <c r="A252" s="268" t="s">
        <v>391</v>
      </c>
      <c r="B252" s="268"/>
      <c r="C252" s="268"/>
      <c r="D252" s="268"/>
      <c r="E252" s="268"/>
      <c r="F252" s="268"/>
      <c r="G252" s="268"/>
      <c r="H252" s="268"/>
      <c r="I252" s="268"/>
      <c r="J252" s="268"/>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8" customFormat="true" ht="10.5" hidden="false" customHeight="true" outlineLevel="0" collapsed="false">
      <c r="A253" s="269" t="s">
        <v>392</v>
      </c>
      <c r="B253" s="270"/>
      <c r="C253" s="270"/>
      <c r="D253" s="270"/>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c r="AC253" s="270"/>
      <c r="AD253" s="270"/>
      <c r="AE253" s="270"/>
      <c r="AF253" s="270"/>
      <c r="AG253" s="270"/>
      <c r="AH253" s="270"/>
      <c r="AI253" s="270"/>
      <c r="AJ253" s="270"/>
      <c r="AK253" s="270"/>
      <c r="AL253" s="270"/>
      <c r="AM253" s="270"/>
      <c r="AN253" s="270"/>
      <c r="AO253" s="270"/>
      <c r="AP253" s="7"/>
      <c r="AQ253" s="7"/>
      <c r="AR253" s="7"/>
      <c r="AS253" s="7"/>
      <c r="AT253" s="7"/>
      <c r="AU253" s="7"/>
      <c r="AV253" s="7"/>
      <c r="AW253" s="7"/>
      <c r="AX253" s="7"/>
      <c r="AY253" s="7"/>
      <c r="AZ253" s="7"/>
      <c r="BA253" s="7"/>
      <c r="BB253" s="7"/>
      <c r="BC253" s="7"/>
    </row>
    <row r="254" s="88" customFormat="true" ht="9.75" hidden="false" customHeight="true" outlineLevel="0" collapsed="false">
      <c r="A254" s="226"/>
      <c r="B254" s="226"/>
      <c r="C254" s="226"/>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c r="AP254" s="7"/>
      <c r="AQ254" s="7"/>
      <c r="AR254" s="7"/>
      <c r="AS254" s="7"/>
      <c r="AT254" s="7"/>
      <c r="AU254" s="7"/>
      <c r="AV254" s="7"/>
      <c r="AW254" s="7"/>
      <c r="AX254" s="7"/>
      <c r="AY254" s="7"/>
      <c r="AZ254" s="7"/>
      <c r="BA254" s="7"/>
      <c r="BB254" s="7"/>
      <c r="BC254" s="7"/>
    </row>
    <row r="255" s="88" customFormat="true" ht="9.75" hidden="false" customHeight="true" outlineLevel="0" collapsed="false">
      <c r="A255" s="269" t="s">
        <v>393</v>
      </c>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c r="AE255" s="270"/>
      <c r="AF255" s="270"/>
      <c r="AG255" s="270"/>
      <c r="AH255" s="270"/>
      <c r="AI255" s="270"/>
      <c r="AJ255" s="270"/>
      <c r="AK255" s="270"/>
      <c r="AL255" s="270"/>
      <c r="AM255" s="270"/>
      <c r="AN255" s="270"/>
      <c r="AO255" s="270"/>
      <c r="AP255" s="7"/>
      <c r="AQ255" s="7"/>
      <c r="AR255" s="7"/>
      <c r="AS255" s="7"/>
      <c r="AT255" s="7"/>
      <c r="AU255" s="7"/>
      <c r="AV255" s="7"/>
      <c r="AW255" s="7"/>
      <c r="AX255" s="7"/>
      <c r="AY255" s="7"/>
      <c r="AZ255" s="7"/>
      <c r="BA255" s="7"/>
      <c r="BB255" s="7"/>
      <c r="BC255" s="7"/>
    </row>
    <row r="256" s="88" customFormat="true" ht="9.75" hidden="false" customHeight="true" outlineLevel="0" collapsed="false">
      <c r="A256" s="226"/>
      <c r="B256" s="226"/>
      <c r="C256" s="226"/>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c r="AP256" s="7"/>
      <c r="AQ256" s="7"/>
      <c r="AR256" s="7"/>
      <c r="AS256" s="7"/>
      <c r="AT256" s="7"/>
      <c r="AU256" s="7"/>
      <c r="AV256" s="7"/>
      <c r="AW256" s="7"/>
      <c r="AX256" s="7"/>
      <c r="AY256" s="7"/>
      <c r="AZ256" s="7"/>
      <c r="BA256" s="7"/>
      <c r="BB256" s="7"/>
      <c r="BC256" s="7"/>
    </row>
    <row r="257" s="88" customFormat="true" ht="9.75" hidden="false" customHeight="true" outlineLevel="0" collapsed="false">
      <c r="A257" s="270"/>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c r="AE257" s="270"/>
      <c r="AF257" s="270"/>
      <c r="AG257" s="270"/>
      <c r="AH257" s="270"/>
      <c r="AI257" s="270"/>
      <c r="AJ257" s="270"/>
      <c r="AK257" s="270"/>
      <c r="AL257" s="270"/>
      <c r="AM257" s="270"/>
      <c r="AN257" s="270"/>
      <c r="AO257" s="270"/>
      <c r="AP257" s="7"/>
      <c r="AQ257" s="7"/>
      <c r="AR257" s="7"/>
      <c r="AS257" s="7"/>
      <c r="AT257" s="7"/>
      <c r="AU257" s="7"/>
      <c r="AV257" s="7"/>
      <c r="AW257" s="7"/>
      <c r="AX257" s="7"/>
      <c r="AY257" s="7"/>
      <c r="AZ257" s="7"/>
      <c r="BA257" s="7"/>
      <c r="BB257" s="7"/>
      <c r="BC257" s="7"/>
    </row>
    <row r="258" s="88" customFormat="true" ht="9.75" hidden="false" customHeight="true" outlineLevel="0" collapsed="false">
      <c r="A258" s="226"/>
      <c r="B258" s="226"/>
      <c r="C258" s="226"/>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c r="AP258" s="7"/>
      <c r="AQ258" s="7"/>
      <c r="AR258" s="7"/>
      <c r="AS258" s="7"/>
      <c r="AT258" s="7"/>
      <c r="AU258" s="7"/>
      <c r="AV258" s="7"/>
      <c r="AW258" s="7"/>
      <c r="AX258" s="7"/>
      <c r="AY258" s="7"/>
      <c r="AZ258" s="7"/>
      <c r="BA258" s="7"/>
      <c r="BB258" s="7"/>
      <c r="BC258" s="7"/>
    </row>
    <row r="259" s="88" customFormat="true" ht="9.75" hidden="false" customHeight="true" outlineLevel="0" collapsed="false">
      <c r="A259" s="271"/>
      <c r="B259" s="270"/>
      <c r="C259" s="270"/>
      <c r="D259" s="270"/>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c r="AC259" s="270"/>
      <c r="AD259" s="270"/>
      <c r="AE259" s="270"/>
      <c r="AF259" s="270"/>
      <c r="AG259" s="270"/>
      <c r="AH259" s="270"/>
      <c r="AI259" s="270"/>
      <c r="AJ259" s="270"/>
      <c r="AK259" s="270"/>
      <c r="AL259" s="270"/>
      <c r="AM259" s="270"/>
      <c r="AN259" s="270"/>
      <c r="AO259" s="270"/>
      <c r="AP259" s="7"/>
      <c r="AQ259" s="7"/>
      <c r="AR259" s="7"/>
      <c r="AS259" s="7"/>
      <c r="AT259" s="7"/>
      <c r="AU259" s="7"/>
      <c r="AV259" s="7"/>
      <c r="AW259" s="7"/>
      <c r="AX259" s="7"/>
      <c r="AY259" s="7"/>
      <c r="AZ259" s="7"/>
      <c r="BA259" s="7"/>
      <c r="BB259" s="7"/>
      <c r="BC259" s="7"/>
    </row>
    <row r="260" s="88" customFormat="true" ht="9.75" hidden="false" customHeight="true" outlineLevel="0" collapsed="false">
      <c r="A260" s="226"/>
      <c r="B260" s="226"/>
      <c r="C260" s="226"/>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c r="AP260" s="7"/>
      <c r="AQ260" s="7"/>
      <c r="AR260" s="7"/>
      <c r="AS260" s="7"/>
      <c r="AT260" s="7"/>
      <c r="AU260" s="7"/>
      <c r="AV260" s="7"/>
      <c r="AW260" s="7"/>
      <c r="AX260" s="7"/>
      <c r="AY260" s="7"/>
      <c r="AZ260" s="7"/>
      <c r="BA260" s="7"/>
      <c r="BB260" s="7"/>
      <c r="BC260" s="7"/>
    </row>
    <row r="261" s="88" customFormat="true" ht="9.75" hidden="false" customHeight="true" outlineLevel="0" collapsed="false">
      <c r="A261" s="270"/>
      <c r="B261" s="270"/>
      <c r="C261" s="270"/>
      <c r="D261" s="270"/>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c r="AC261" s="270"/>
      <c r="AD261" s="270"/>
      <c r="AE261" s="270"/>
      <c r="AF261" s="270"/>
      <c r="AG261" s="270"/>
      <c r="AH261" s="270"/>
      <c r="AI261" s="270"/>
      <c r="AJ261" s="270"/>
      <c r="AK261" s="270"/>
      <c r="AL261" s="270"/>
      <c r="AM261" s="270"/>
      <c r="AN261" s="270"/>
      <c r="AO261" s="270"/>
      <c r="AP261" s="7"/>
      <c r="AQ261" s="7"/>
      <c r="AR261" s="7"/>
      <c r="AS261" s="7"/>
      <c r="AT261" s="7"/>
      <c r="AU261" s="7"/>
      <c r="AV261" s="7"/>
      <c r="AW261" s="7"/>
      <c r="AX261" s="7"/>
      <c r="AY261" s="7"/>
      <c r="AZ261" s="7"/>
      <c r="BA261" s="7"/>
      <c r="BB261" s="7"/>
      <c r="BC261" s="7"/>
    </row>
    <row r="262" s="88" customFormat="true" ht="9.75" hidden="false" customHeight="true" outlineLevel="0" collapsed="false">
      <c r="A262" s="226"/>
      <c r="B262" s="226"/>
      <c r="C262" s="226"/>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c r="AP262" s="7"/>
      <c r="AQ262" s="7"/>
      <c r="AR262" s="7"/>
      <c r="AS262" s="7"/>
      <c r="AT262" s="7"/>
      <c r="AU262" s="7"/>
      <c r="AV262" s="7"/>
      <c r="AW262" s="7"/>
      <c r="AX262" s="7"/>
      <c r="AY262" s="7"/>
      <c r="AZ262" s="7"/>
      <c r="BA262" s="7"/>
      <c r="BB262" s="7"/>
      <c r="BC262" s="7"/>
    </row>
    <row r="263" s="88" customFormat="true" ht="9.75" hidden="false" customHeight="true" outlineLevel="0" collapsed="false">
      <c r="A263" s="270"/>
      <c r="B263" s="270"/>
      <c r="C263" s="270"/>
      <c r="D263" s="270"/>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c r="AC263" s="270"/>
      <c r="AD263" s="270"/>
      <c r="AE263" s="270"/>
      <c r="AF263" s="270"/>
      <c r="AG263" s="270"/>
      <c r="AH263" s="270"/>
      <c r="AI263" s="270"/>
      <c r="AJ263" s="270"/>
      <c r="AK263" s="270"/>
      <c r="AL263" s="270"/>
      <c r="AM263" s="270"/>
      <c r="AN263" s="270"/>
      <c r="AO263" s="270"/>
      <c r="AP263" s="7"/>
      <c r="AQ263" s="7"/>
      <c r="AR263" s="7"/>
      <c r="AS263" s="7"/>
      <c r="AT263" s="7"/>
      <c r="AU263" s="7"/>
      <c r="AV263" s="7"/>
      <c r="AW263" s="7"/>
      <c r="AX263" s="7"/>
      <c r="AY263" s="7"/>
      <c r="AZ263" s="7"/>
      <c r="BA263" s="7"/>
      <c r="BB263" s="7"/>
      <c r="BC263" s="7"/>
    </row>
    <row r="264" s="88"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8"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8"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8"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8" customFormat="true" ht="10.5" hidden="false" customHeight="true" outlineLevel="0" collapsed="false">
      <c r="A268" s="7"/>
      <c r="B268" s="7"/>
      <c r="C268" s="7"/>
      <c r="D268" s="7"/>
      <c r="E268" s="39"/>
      <c r="F268" s="39"/>
      <c r="G268" s="39"/>
      <c r="H268" s="39"/>
      <c r="I268" s="39"/>
      <c r="J268" s="39"/>
      <c r="K268" s="39"/>
      <c r="L268" s="39"/>
      <c r="M268" s="39"/>
      <c r="N268" s="272"/>
      <c r="O268" s="272"/>
      <c r="W268" s="7"/>
      <c r="X268" s="7"/>
      <c r="Y268" s="7"/>
      <c r="Z268" s="39"/>
      <c r="AA268" s="273" t="n">
        <f aca="false">AF6</f>
        <v>46206</v>
      </c>
      <c r="AB268" s="273"/>
      <c r="AC268" s="273"/>
      <c r="AD268" s="273"/>
      <c r="AE268" s="273"/>
      <c r="AF268" s="273"/>
      <c r="AG268" s="273"/>
      <c r="AH268" s="273"/>
      <c r="AI268" s="273"/>
      <c r="AJ268" s="273"/>
      <c r="AK268" s="273"/>
      <c r="AL268" s="273"/>
      <c r="AM268" s="273"/>
      <c r="AN268" s="39"/>
      <c r="AO268" s="7"/>
      <c r="AP268" s="7"/>
      <c r="AQ268" s="7"/>
      <c r="AR268" s="7"/>
      <c r="AS268" s="7"/>
      <c r="AT268" s="7"/>
      <c r="AU268" s="7"/>
      <c r="AV268" s="7"/>
      <c r="AW268" s="7"/>
      <c r="AX268" s="7"/>
      <c r="AY268" s="7"/>
      <c r="AZ268" s="7"/>
      <c r="BA268" s="7"/>
      <c r="BB268" s="7"/>
      <c r="BC268" s="7"/>
    </row>
    <row r="269" s="88" customFormat="true" ht="10.5" hidden="false" customHeight="true" outlineLevel="0" collapsed="false">
      <c r="A269" s="7"/>
      <c r="B269" s="7"/>
      <c r="C269" s="7"/>
      <c r="D269" s="274"/>
      <c r="E269" s="122" t="s">
        <v>394</v>
      </c>
      <c r="F269" s="122"/>
      <c r="G269" s="122"/>
      <c r="H269" s="122"/>
      <c r="I269" s="122"/>
      <c r="J269" s="122"/>
      <c r="K269" s="122"/>
      <c r="L269" s="122"/>
      <c r="M269" s="122"/>
      <c r="N269" s="122"/>
      <c r="W269" s="7"/>
      <c r="X269" s="7"/>
      <c r="Y269" s="7"/>
      <c r="Z269" s="7"/>
      <c r="AA269" s="21" t="s">
        <v>395</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8" customFormat="true" ht="10.5" hidden="false" customHeight="true" outlineLevel="0" collapsed="false">
      <c r="A270" s="7"/>
      <c r="B270" s="7"/>
      <c r="C270" s="7"/>
      <c r="D270" s="275" t="str">
        <f aca="false">+D10</f>
        <v>JARAMILLO JIMENEZ CARLOS ISRAEL</v>
      </c>
      <c r="E270" s="275"/>
      <c r="F270" s="275"/>
      <c r="G270" s="275"/>
      <c r="H270" s="275"/>
      <c r="I270" s="275"/>
      <c r="J270" s="275"/>
      <c r="K270" s="275"/>
      <c r="L270" s="275"/>
      <c r="M270" s="275"/>
      <c r="N270" s="275"/>
      <c r="O270" s="275"/>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8"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8"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8"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1" sqref="U187:X188 E27"/>
    </sheetView>
  </sheetViews>
  <sheetFormatPr defaultColWidth="10.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1" sqref="U187:X188 E51"/>
    </sheetView>
  </sheetViews>
  <sheetFormatPr defaultColWidth="10.66796875" defaultRowHeight="14.25" zeroHeight="false" outlineLevelRow="0" outlineLevelCol="0"/>
  <cols>
    <col collapsed="false" customWidth="true" hidden="false" outlineLevel="0" max="1" min="1" style="276" width="4.56"/>
    <col collapsed="false" customWidth="true" hidden="false" outlineLevel="0" max="2" min="2" style="276" width="20.66"/>
    <col collapsed="false" customWidth="true" hidden="false" outlineLevel="0" max="3" min="3" style="276" width="9.88"/>
    <col collapsed="false" customWidth="true" hidden="false" outlineLevel="0" max="4" min="4" style="276" width="8.76"/>
    <col collapsed="false" customWidth="true" hidden="false" outlineLevel="0" max="5" min="5" style="276" width="59.56"/>
    <col collapsed="false" customWidth="true" hidden="false" outlineLevel="0" max="1024" min="6" style="277" width="10.78"/>
    <col collapsed="false" customWidth="true" hidden="false" outlineLevel="0" max="1025" min="1025" style="1" width="11.56"/>
  </cols>
  <sheetData>
    <row r="3" customFormat="false" ht="14.25" hidden="false" customHeight="false" outlineLevel="0" collapsed="false">
      <c r="A3" s="278" t="s">
        <v>396</v>
      </c>
      <c r="B3" s="279" t="s">
        <v>397</v>
      </c>
      <c r="C3" s="279" t="s">
        <v>398</v>
      </c>
      <c r="D3" s="280" t="s">
        <v>399</v>
      </c>
      <c r="E3" s="279" t="s">
        <v>400</v>
      </c>
    </row>
    <row r="4" customFormat="false" ht="14.25" hidden="false" customHeight="false" outlineLevel="0" collapsed="false">
      <c r="A4" s="281" t="n">
        <v>1</v>
      </c>
      <c r="B4" s="282" t="s">
        <v>41</v>
      </c>
      <c r="C4" s="283" t="n">
        <v>1</v>
      </c>
      <c r="D4" s="284" t="s">
        <v>401</v>
      </c>
      <c r="E4" s="283" t="s">
        <v>402</v>
      </c>
    </row>
    <row r="5" customFormat="false" ht="14.25" hidden="false" customHeight="false" outlineLevel="0" collapsed="false">
      <c r="A5" s="281" t="n">
        <v>2</v>
      </c>
      <c r="B5" s="282" t="s">
        <v>41</v>
      </c>
      <c r="C5" s="285" t="n">
        <v>1</v>
      </c>
      <c r="D5" s="286" t="s">
        <v>403</v>
      </c>
      <c r="E5" s="285" t="s">
        <v>404</v>
      </c>
    </row>
    <row r="6" customFormat="false" ht="14.25" hidden="false" customHeight="false" outlineLevel="0" collapsed="false">
      <c r="A6" s="281" t="n">
        <v>3</v>
      </c>
      <c r="B6" s="282" t="s">
        <v>41</v>
      </c>
      <c r="C6" s="283" t="n">
        <v>1</v>
      </c>
      <c r="D6" s="284" t="s">
        <v>405</v>
      </c>
      <c r="E6" s="283" t="s">
        <v>406</v>
      </c>
    </row>
    <row r="7" customFormat="false" ht="14.25" hidden="false" customHeight="false" outlineLevel="0" collapsed="false">
      <c r="A7" s="281" t="n">
        <v>4</v>
      </c>
      <c r="B7" s="282" t="s">
        <v>41</v>
      </c>
      <c r="C7" s="283" t="n">
        <v>1</v>
      </c>
      <c r="D7" s="284" t="s">
        <v>407</v>
      </c>
      <c r="E7" s="283" t="s">
        <v>408</v>
      </c>
    </row>
    <row r="8" customFormat="false" ht="14.25" hidden="false" customHeight="false" outlineLevel="0" collapsed="false">
      <c r="A8" s="281" t="n">
        <v>5</v>
      </c>
      <c r="B8" s="282" t="s">
        <v>41</v>
      </c>
      <c r="C8" s="283" t="n">
        <v>1</v>
      </c>
      <c r="D8" s="284" t="s">
        <v>409</v>
      </c>
      <c r="E8" s="283" t="s">
        <v>410</v>
      </c>
    </row>
    <row r="9" customFormat="false" ht="14.25" hidden="false" customHeight="false" outlineLevel="0" collapsed="false">
      <c r="A9" s="281" t="n">
        <v>6</v>
      </c>
      <c r="B9" s="282" t="s">
        <v>41</v>
      </c>
      <c r="C9" s="283" t="n">
        <v>1</v>
      </c>
      <c r="D9" s="284" t="s">
        <v>411</v>
      </c>
      <c r="E9" s="283" t="s">
        <v>412</v>
      </c>
    </row>
    <row r="10" customFormat="false" ht="14.25" hidden="false" customHeight="false" outlineLevel="0" collapsed="false">
      <c r="A10" s="281" t="n">
        <v>7</v>
      </c>
      <c r="B10" s="282" t="s">
        <v>41</v>
      </c>
      <c r="C10" s="283" t="n">
        <v>1</v>
      </c>
      <c r="D10" s="284" t="s">
        <v>413</v>
      </c>
      <c r="E10" s="287" t="s">
        <v>414</v>
      </c>
    </row>
    <row r="11" customFormat="false" ht="14.25" hidden="false" customHeight="false" outlineLevel="0" collapsed="false">
      <c r="A11" s="281" t="n">
        <v>8</v>
      </c>
      <c r="B11" s="282" t="s">
        <v>41</v>
      </c>
      <c r="C11" s="283" t="n">
        <v>1</v>
      </c>
      <c r="D11" s="284" t="s">
        <v>415</v>
      </c>
      <c r="E11" s="287" t="s">
        <v>416</v>
      </c>
    </row>
    <row r="12" customFormat="false" ht="14.25" hidden="false" customHeight="false" outlineLevel="0" collapsed="false">
      <c r="A12" s="281" t="n">
        <v>9</v>
      </c>
      <c r="B12" s="282" t="s">
        <v>41</v>
      </c>
      <c r="C12" s="283" t="n">
        <v>1</v>
      </c>
      <c r="D12" s="284" t="s">
        <v>417</v>
      </c>
      <c r="E12" s="283" t="s">
        <v>418</v>
      </c>
    </row>
    <row r="13" customFormat="false" ht="14.25" hidden="false" customHeight="false" outlineLevel="0" collapsed="false">
      <c r="A13" s="281" t="n">
        <v>10</v>
      </c>
      <c r="B13" s="282" t="s">
        <v>41</v>
      </c>
      <c r="C13" s="283" t="n">
        <v>1</v>
      </c>
      <c r="D13" s="284" t="s">
        <v>419</v>
      </c>
      <c r="E13" s="283" t="s">
        <v>420</v>
      </c>
    </row>
    <row r="14" customFormat="false" ht="14.25" hidden="false" customHeight="false" outlineLevel="0" collapsed="false">
      <c r="A14" s="281" t="n">
        <v>11</v>
      </c>
      <c r="B14" s="282" t="s">
        <v>41</v>
      </c>
      <c r="C14" s="283" t="n">
        <v>1</v>
      </c>
      <c r="D14" s="284" t="s">
        <v>421</v>
      </c>
      <c r="E14" s="288" t="s">
        <v>420</v>
      </c>
    </row>
    <row r="15" customFormat="false" ht="14.25" hidden="false" customHeight="false" outlineLevel="0" collapsed="false">
      <c r="A15" s="281" t="n">
        <v>12</v>
      </c>
      <c r="B15" s="282" t="s">
        <v>41</v>
      </c>
      <c r="C15" s="283" t="n">
        <v>1</v>
      </c>
      <c r="D15" s="284" t="s">
        <v>422</v>
      </c>
      <c r="E15" s="288" t="s">
        <v>420</v>
      </c>
    </row>
    <row r="16" customFormat="false" ht="14.25" hidden="false" customHeight="false" outlineLevel="0" collapsed="false">
      <c r="A16" s="281" t="n">
        <v>13</v>
      </c>
      <c r="B16" s="282" t="s">
        <v>41</v>
      </c>
      <c r="C16" s="283" t="n">
        <v>1</v>
      </c>
      <c r="D16" s="284" t="s">
        <v>423</v>
      </c>
      <c r="E16" s="288" t="s">
        <v>420</v>
      </c>
    </row>
    <row r="17" customFormat="false" ht="14.25" hidden="false" customHeight="false" outlineLevel="0" collapsed="false">
      <c r="A17" s="281" t="n">
        <v>14</v>
      </c>
      <c r="B17" s="282" t="s">
        <v>41</v>
      </c>
      <c r="C17" s="283" t="n">
        <v>1</v>
      </c>
      <c r="D17" s="284" t="s">
        <v>424</v>
      </c>
      <c r="E17" s="289" t="s">
        <v>425</v>
      </c>
    </row>
    <row r="18" customFormat="false" ht="14.25" hidden="false" customHeight="false" outlineLevel="0" collapsed="false">
      <c r="A18" s="281" t="n">
        <v>15</v>
      </c>
      <c r="B18" s="282" t="s">
        <v>41</v>
      </c>
      <c r="C18" s="283" t="n">
        <v>1</v>
      </c>
      <c r="D18" s="284" t="s">
        <v>426</v>
      </c>
      <c r="E18" s="288" t="s">
        <v>420</v>
      </c>
    </row>
    <row r="19" customFormat="false" ht="14.25" hidden="false" customHeight="false" outlineLevel="0" collapsed="false">
      <c r="A19" s="281" t="n">
        <v>16</v>
      </c>
      <c r="B19" s="282" t="s">
        <v>41</v>
      </c>
      <c r="C19" s="283" t="n">
        <v>1</v>
      </c>
      <c r="D19" s="284" t="s">
        <v>427</v>
      </c>
      <c r="E19" s="288" t="s">
        <v>420</v>
      </c>
    </row>
    <row r="20" customFormat="false" ht="14.25" hidden="false" customHeight="false" outlineLevel="0" collapsed="false">
      <c r="A20" s="281" t="n">
        <v>17</v>
      </c>
      <c r="B20" s="282" t="s">
        <v>46</v>
      </c>
      <c r="C20" s="283" t="n">
        <v>2</v>
      </c>
      <c r="D20" s="284" t="s">
        <v>428</v>
      </c>
      <c r="E20" s="283" t="s">
        <v>429</v>
      </c>
    </row>
    <row r="21" customFormat="false" ht="14.25" hidden="false" customHeight="false" outlineLevel="0" collapsed="false">
      <c r="A21" s="281" t="n">
        <v>18</v>
      </c>
      <c r="B21" s="282" t="s">
        <v>46</v>
      </c>
      <c r="C21" s="283" t="n">
        <v>2</v>
      </c>
      <c r="D21" s="284" t="s">
        <v>430</v>
      </c>
      <c r="E21" s="283" t="s">
        <v>431</v>
      </c>
    </row>
    <row r="22" customFormat="false" ht="14.25" hidden="false" customHeight="false" outlineLevel="0" collapsed="false">
      <c r="A22" s="281" t="n">
        <v>19</v>
      </c>
      <c r="B22" s="282" t="s">
        <v>46</v>
      </c>
      <c r="C22" s="283" t="n">
        <v>2</v>
      </c>
      <c r="D22" s="284" t="s">
        <v>432</v>
      </c>
      <c r="E22" s="283" t="s">
        <v>433</v>
      </c>
    </row>
    <row r="23" customFormat="false" ht="14.25" hidden="false" customHeight="false" outlineLevel="0" collapsed="false">
      <c r="A23" s="281" t="n">
        <v>20</v>
      </c>
      <c r="B23" s="282" t="s">
        <v>46</v>
      </c>
      <c r="C23" s="283" t="n">
        <v>2</v>
      </c>
      <c r="D23" s="284" t="s">
        <v>434</v>
      </c>
      <c r="E23" s="290" t="s">
        <v>435</v>
      </c>
    </row>
    <row r="24" customFormat="false" ht="14.25" hidden="false" customHeight="false" outlineLevel="0" collapsed="false">
      <c r="A24" s="281" t="n">
        <v>21</v>
      </c>
      <c r="B24" s="282" t="s">
        <v>46</v>
      </c>
      <c r="C24" s="283" t="n">
        <v>2</v>
      </c>
      <c r="D24" s="284" t="s">
        <v>436</v>
      </c>
      <c r="E24" s="283" t="s">
        <v>437</v>
      </c>
    </row>
    <row r="25" customFormat="false" ht="14.25" hidden="false" customHeight="false" outlineLevel="0" collapsed="false">
      <c r="A25" s="281" t="n">
        <v>22</v>
      </c>
      <c r="B25" s="282" t="s">
        <v>46</v>
      </c>
      <c r="C25" s="283" t="n">
        <v>2</v>
      </c>
      <c r="D25" s="284" t="s">
        <v>438</v>
      </c>
      <c r="E25" s="287" t="s">
        <v>439</v>
      </c>
    </row>
    <row r="26" customFormat="false" ht="14.25" hidden="false" customHeight="false" outlineLevel="0" collapsed="false">
      <c r="A26" s="281" t="n">
        <v>23</v>
      </c>
      <c r="B26" s="282" t="s">
        <v>440</v>
      </c>
      <c r="C26" s="283" t="n">
        <v>3</v>
      </c>
      <c r="D26" s="284" t="s">
        <v>441</v>
      </c>
      <c r="E26" s="287" t="s">
        <v>442</v>
      </c>
    </row>
    <row r="27" customFormat="false" ht="14.25" hidden="false" customHeight="false" outlineLevel="0" collapsed="false">
      <c r="A27" s="281" t="n">
        <v>24</v>
      </c>
      <c r="B27" s="282" t="s">
        <v>440</v>
      </c>
      <c r="C27" s="283" t="n">
        <v>3</v>
      </c>
      <c r="D27" s="284" t="s">
        <v>443</v>
      </c>
      <c r="E27" s="283" t="s">
        <v>444</v>
      </c>
    </row>
    <row r="28" customFormat="false" ht="14.25" hidden="false" customHeight="false" outlineLevel="0" collapsed="false">
      <c r="A28" s="281" t="n">
        <v>25</v>
      </c>
      <c r="B28" s="282" t="s">
        <v>56</v>
      </c>
      <c r="C28" s="283" t="n">
        <v>4</v>
      </c>
      <c r="D28" s="284" t="s">
        <v>445</v>
      </c>
      <c r="E28" s="290" t="s">
        <v>420</v>
      </c>
    </row>
    <row r="29" customFormat="false" ht="14.25" hidden="false" customHeight="false" outlineLevel="0" collapsed="false">
      <c r="A29" s="281" t="n">
        <v>26</v>
      </c>
      <c r="B29" s="282" t="s">
        <v>56</v>
      </c>
      <c r="C29" s="283" t="n">
        <v>4</v>
      </c>
      <c r="D29" s="284" t="s">
        <v>446</v>
      </c>
      <c r="E29" s="283" t="s">
        <v>447</v>
      </c>
    </row>
    <row r="30" customFormat="false" ht="14.25" hidden="false" customHeight="false" outlineLevel="0" collapsed="false">
      <c r="A30" s="281" t="n">
        <v>27</v>
      </c>
      <c r="B30" s="282" t="s">
        <v>56</v>
      </c>
      <c r="C30" s="283" t="n">
        <v>4</v>
      </c>
      <c r="D30" s="284" t="s">
        <v>448</v>
      </c>
      <c r="E30" s="283" t="s">
        <v>449</v>
      </c>
    </row>
    <row r="31" customFormat="false" ht="14.25" hidden="false" customHeight="false" outlineLevel="0" collapsed="false">
      <c r="A31" s="281" t="n">
        <v>28</v>
      </c>
      <c r="B31" s="282" t="s">
        <v>56</v>
      </c>
      <c r="C31" s="283" t="n">
        <v>4</v>
      </c>
      <c r="D31" s="284" t="s">
        <v>450</v>
      </c>
      <c r="E31" s="283" t="s">
        <v>451</v>
      </c>
    </row>
    <row r="32" customFormat="false" ht="14.25" hidden="false" customHeight="false" outlineLevel="0" collapsed="false">
      <c r="A32" s="281" t="n">
        <v>29</v>
      </c>
      <c r="B32" s="282" t="s">
        <v>56</v>
      </c>
      <c r="C32" s="283" t="n">
        <v>4</v>
      </c>
      <c r="D32" s="284" t="s">
        <v>452</v>
      </c>
      <c r="E32" s="276" t="s">
        <v>453</v>
      </c>
    </row>
    <row r="33" customFormat="false" ht="14.25" hidden="false" customHeight="false" outlineLevel="0" collapsed="false">
      <c r="A33" s="281" t="n">
        <v>30</v>
      </c>
      <c r="B33" s="282" t="s">
        <v>59</v>
      </c>
      <c r="C33" s="283" t="n">
        <v>5</v>
      </c>
      <c r="D33" s="284" t="s">
        <v>454</v>
      </c>
      <c r="E33" s="291" t="s">
        <v>455</v>
      </c>
    </row>
    <row r="34" customFormat="false" ht="14.25" hidden="false" customHeight="false" outlineLevel="0" collapsed="false">
      <c r="A34" s="281" t="n">
        <v>31</v>
      </c>
      <c r="B34" s="282" t="s">
        <v>59</v>
      </c>
      <c r="C34" s="283" t="n">
        <v>5</v>
      </c>
      <c r="D34" s="284" t="s">
        <v>456</v>
      </c>
      <c r="E34" s="291" t="s">
        <v>457</v>
      </c>
    </row>
    <row r="35" customFormat="false" ht="14.25" hidden="false" customHeight="false" outlineLevel="0" collapsed="false">
      <c r="A35" s="281" t="n">
        <v>32</v>
      </c>
      <c r="B35" s="282" t="s">
        <v>59</v>
      </c>
      <c r="C35" s="283" t="n">
        <v>5</v>
      </c>
      <c r="D35" s="284" t="s">
        <v>458</v>
      </c>
      <c r="E35" s="291" t="s">
        <v>459</v>
      </c>
    </row>
    <row r="36" customFormat="false" ht="14.25" hidden="false" customHeight="false" outlineLevel="0" collapsed="false">
      <c r="A36" s="281" t="n">
        <v>33</v>
      </c>
      <c r="B36" s="282" t="s">
        <v>59</v>
      </c>
      <c r="C36" s="283" t="n">
        <v>5</v>
      </c>
      <c r="D36" s="284" t="s">
        <v>460</v>
      </c>
      <c r="E36" s="291" t="s">
        <v>461</v>
      </c>
    </row>
    <row r="37" customFormat="false" ht="14.25" hidden="false" customHeight="false" outlineLevel="0" collapsed="false">
      <c r="A37" s="281" t="n">
        <v>34</v>
      </c>
      <c r="B37" s="282" t="s">
        <v>59</v>
      </c>
      <c r="C37" s="283" t="n">
        <v>5</v>
      </c>
      <c r="D37" s="284" t="s">
        <v>462</v>
      </c>
      <c r="E37" s="291" t="s">
        <v>463</v>
      </c>
    </row>
    <row r="38" customFormat="false" ht="14.25" hidden="false" customHeight="false" outlineLevel="0" collapsed="false">
      <c r="A38" s="281" t="n">
        <v>35</v>
      </c>
      <c r="B38" s="282" t="s">
        <v>59</v>
      </c>
      <c r="C38" s="283" t="n">
        <v>5</v>
      </c>
      <c r="D38" s="284" t="s">
        <v>464</v>
      </c>
      <c r="E38" s="290" t="s">
        <v>465</v>
      </c>
    </row>
    <row r="39" customFormat="false" ht="14.25" hidden="false" customHeight="false" outlineLevel="0" collapsed="false">
      <c r="A39" s="281" t="n">
        <v>36</v>
      </c>
      <c r="B39" s="282" t="s">
        <v>59</v>
      </c>
      <c r="C39" s="283" t="n">
        <v>5</v>
      </c>
      <c r="D39" s="284" t="s">
        <v>466</v>
      </c>
      <c r="E39" s="291" t="s">
        <v>467</v>
      </c>
    </row>
    <row r="40" customFormat="false" ht="14.25" hidden="false" customHeight="false" outlineLevel="0" collapsed="false">
      <c r="A40" s="281" t="n">
        <v>37</v>
      </c>
      <c r="B40" s="282" t="s">
        <v>59</v>
      </c>
      <c r="C40" s="283" t="n">
        <v>5</v>
      </c>
      <c r="D40" s="284" t="s">
        <v>468</v>
      </c>
      <c r="E40" s="290" t="s">
        <v>469</v>
      </c>
    </row>
    <row r="41" customFormat="false" ht="14.25" hidden="false" customHeight="false" outlineLevel="0" collapsed="false">
      <c r="A41" s="281" t="n">
        <v>38</v>
      </c>
      <c r="B41" s="282" t="s">
        <v>71</v>
      </c>
      <c r="C41" s="283" t="n">
        <v>6</v>
      </c>
      <c r="D41" s="284" t="s">
        <v>470</v>
      </c>
      <c r="E41" s="290" t="s">
        <v>471</v>
      </c>
    </row>
    <row r="42" customFormat="false" ht="14.25" hidden="false" customHeight="false" outlineLevel="0" collapsed="false">
      <c r="A42" s="281" t="n">
        <v>39</v>
      </c>
      <c r="B42" s="282" t="s">
        <v>71</v>
      </c>
      <c r="C42" s="283" t="n">
        <v>6</v>
      </c>
      <c r="D42" s="284" t="s">
        <v>472</v>
      </c>
      <c r="E42" s="290" t="s">
        <v>473</v>
      </c>
    </row>
    <row r="43" customFormat="false" ht="14.25" hidden="false" customHeight="false" outlineLevel="0" collapsed="false">
      <c r="A43" s="281" t="n">
        <v>40</v>
      </c>
      <c r="B43" s="282" t="s">
        <v>71</v>
      </c>
      <c r="C43" s="283" t="n">
        <v>6</v>
      </c>
      <c r="D43" s="284" t="s">
        <v>474</v>
      </c>
      <c r="E43" s="290" t="s">
        <v>475</v>
      </c>
    </row>
    <row r="44" customFormat="false" ht="14.25" hidden="false" customHeight="false" outlineLevel="0" collapsed="false">
      <c r="A44" s="281" t="n">
        <v>41</v>
      </c>
      <c r="B44" s="282" t="s">
        <v>71</v>
      </c>
      <c r="C44" s="283" t="n">
        <v>6</v>
      </c>
      <c r="D44" s="284" t="s">
        <v>476</v>
      </c>
      <c r="E44" s="290" t="s">
        <v>477</v>
      </c>
    </row>
    <row r="45" customFormat="false" ht="14.25" hidden="false" customHeight="false" outlineLevel="0" collapsed="false">
      <c r="A45" s="281" t="n">
        <v>42</v>
      </c>
      <c r="B45" s="282" t="s">
        <v>71</v>
      </c>
      <c r="C45" s="283" t="n">
        <v>6</v>
      </c>
      <c r="D45" s="284" t="s">
        <v>478</v>
      </c>
      <c r="E45" s="290" t="s">
        <v>479</v>
      </c>
    </row>
    <row r="46" customFormat="false" ht="14.25" hidden="false" customHeight="false" outlineLevel="0" collapsed="false">
      <c r="A46" s="281" t="n">
        <v>43</v>
      </c>
      <c r="B46" s="282" t="s">
        <v>71</v>
      </c>
      <c r="C46" s="283" t="n">
        <v>6</v>
      </c>
      <c r="D46" s="284" t="s">
        <v>480</v>
      </c>
      <c r="E46" s="283" t="s">
        <v>481</v>
      </c>
    </row>
    <row r="47" customFormat="false" ht="14.25" hidden="false" customHeight="false" outlineLevel="0" collapsed="false">
      <c r="A47" s="281" t="n">
        <v>44</v>
      </c>
      <c r="B47" s="282" t="s">
        <v>71</v>
      </c>
      <c r="C47" s="287" t="n">
        <v>6</v>
      </c>
      <c r="D47" s="284" t="s">
        <v>482</v>
      </c>
      <c r="E47" s="290" t="s">
        <v>483</v>
      </c>
    </row>
    <row r="48" customFormat="false" ht="14.25" hidden="false" customHeight="false" outlineLevel="0" collapsed="false">
      <c r="A48" s="281" t="n">
        <v>45</v>
      </c>
      <c r="B48" s="282" t="s">
        <v>71</v>
      </c>
      <c r="C48" s="283" t="n">
        <v>6</v>
      </c>
      <c r="D48" s="284" t="s">
        <v>484</v>
      </c>
      <c r="E48" s="290" t="s">
        <v>420</v>
      </c>
    </row>
    <row r="49" customFormat="false" ht="14.25" hidden="false" customHeight="false" outlineLevel="0" collapsed="false">
      <c r="A49" s="281" t="n">
        <v>46</v>
      </c>
      <c r="B49" s="282" t="s">
        <v>71</v>
      </c>
      <c r="C49" s="283" t="n">
        <v>6</v>
      </c>
      <c r="D49" s="284" t="s">
        <v>485</v>
      </c>
      <c r="E49" s="290" t="s">
        <v>420</v>
      </c>
    </row>
    <row r="50" customFormat="false" ht="14.25" hidden="false" customHeight="false" outlineLevel="0" collapsed="false">
      <c r="A50" s="281" t="n">
        <v>47</v>
      </c>
      <c r="B50" s="282" t="s">
        <v>71</v>
      </c>
      <c r="C50" s="283" t="n">
        <v>6</v>
      </c>
      <c r="D50" s="284" t="s">
        <v>486</v>
      </c>
      <c r="E50" s="290" t="s">
        <v>487</v>
      </c>
    </row>
    <row r="51" customFormat="false" ht="14.25" hidden="false" customHeight="false" outlineLevel="0" collapsed="false">
      <c r="A51" s="281"/>
      <c r="B51" s="282" t="s">
        <v>71</v>
      </c>
      <c r="C51" s="283" t="n">
        <v>6</v>
      </c>
      <c r="D51" s="284" t="s">
        <v>488</v>
      </c>
      <c r="E51" s="283" t="s">
        <v>420</v>
      </c>
    </row>
    <row r="52" customFormat="false" ht="14.25" hidden="false" customHeight="false" outlineLevel="0" collapsed="false">
      <c r="A52" s="281" t="n">
        <v>48</v>
      </c>
      <c r="B52" s="282" t="s">
        <v>74</v>
      </c>
      <c r="C52" s="283" t="n">
        <v>7</v>
      </c>
      <c r="D52" s="284" t="s">
        <v>489</v>
      </c>
      <c r="E52" s="283" t="s">
        <v>490</v>
      </c>
    </row>
    <row r="53" customFormat="false" ht="14.25" hidden="false" customHeight="false" outlineLevel="0" collapsed="false">
      <c r="A53" s="281" t="n">
        <v>49</v>
      </c>
      <c r="B53" s="282" t="s">
        <v>74</v>
      </c>
      <c r="C53" s="292" t="n">
        <v>7</v>
      </c>
      <c r="D53" s="284" t="s">
        <v>491</v>
      </c>
      <c r="E53" s="283" t="s">
        <v>492</v>
      </c>
    </row>
    <row r="54" customFormat="false" ht="14.25" hidden="false" customHeight="false" outlineLevel="0" collapsed="false">
      <c r="A54" s="281" t="n">
        <v>50</v>
      </c>
      <c r="B54" s="282" t="s">
        <v>74</v>
      </c>
      <c r="C54" s="292" t="n">
        <v>7</v>
      </c>
      <c r="D54" s="284" t="s">
        <v>122</v>
      </c>
      <c r="E54" s="283" t="s">
        <v>493</v>
      </c>
    </row>
    <row r="55" customFormat="false" ht="14.25" hidden="false" customHeight="false" outlineLevel="0" collapsed="false">
      <c r="A55" s="281" t="n">
        <v>51</v>
      </c>
      <c r="B55" s="282" t="s">
        <v>74</v>
      </c>
      <c r="C55" s="287" t="n">
        <v>7</v>
      </c>
      <c r="D55" s="284" t="s">
        <v>494</v>
      </c>
      <c r="E55" s="287" t="s">
        <v>495</v>
      </c>
    </row>
    <row r="56" customFormat="false" ht="14.25" hidden="false" customHeight="false" outlineLevel="0" collapsed="false">
      <c r="A56" s="281" t="n">
        <v>52</v>
      </c>
      <c r="B56" s="282" t="s">
        <v>65</v>
      </c>
      <c r="C56" s="283" t="n">
        <v>8</v>
      </c>
      <c r="D56" s="284" t="s">
        <v>496</v>
      </c>
      <c r="E56" s="283" t="s">
        <v>497</v>
      </c>
    </row>
    <row r="57" customFormat="false" ht="14.25" hidden="false" customHeight="false" outlineLevel="0" collapsed="false">
      <c r="A57" s="281" t="n">
        <v>53</v>
      </c>
      <c r="B57" s="282" t="s">
        <v>65</v>
      </c>
      <c r="C57" s="283" t="n">
        <v>8</v>
      </c>
      <c r="D57" s="284" t="s">
        <v>498</v>
      </c>
      <c r="E57" s="283" t="s">
        <v>499</v>
      </c>
    </row>
    <row r="58" customFormat="false" ht="14.25" hidden="false" customHeight="false" outlineLevel="0" collapsed="false">
      <c r="A58" s="281" t="n">
        <v>54</v>
      </c>
      <c r="B58" s="282" t="s">
        <v>65</v>
      </c>
      <c r="C58" s="283" t="n">
        <v>8</v>
      </c>
      <c r="D58" s="284" t="s">
        <v>500</v>
      </c>
      <c r="E58" s="283" t="s">
        <v>501</v>
      </c>
    </row>
    <row r="59" customFormat="false" ht="14.25" hidden="false" customHeight="false" outlineLevel="0" collapsed="false">
      <c r="A59" s="281" t="n">
        <v>55</v>
      </c>
      <c r="B59" s="282" t="s">
        <v>65</v>
      </c>
      <c r="C59" s="283" t="n">
        <v>8</v>
      </c>
      <c r="D59" s="284" t="s">
        <v>502</v>
      </c>
      <c r="E59" s="283" t="s">
        <v>503</v>
      </c>
      <c r="I59" s="293"/>
      <c r="J59" s="294"/>
      <c r="K59" s="293"/>
      <c r="L59" s="294"/>
    </row>
    <row r="60" customFormat="false" ht="14.25" hidden="false" customHeight="false" outlineLevel="0" collapsed="false">
      <c r="A60" s="281" t="n">
        <v>56</v>
      </c>
      <c r="B60" s="282" t="s">
        <v>65</v>
      </c>
      <c r="C60" s="283" t="n">
        <v>8</v>
      </c>
      <c r="D60" s="284" t="s">
        <v>504</v>
      </c>
      <c r="E60" s="283" t="s">
        <v>505</v>
      </c>
      <c r="G60" s="295"/>
      <c r="H60" s="295"/>
      <c r="I60" s="296"/>
      <c r="J60" s="297"/>
      <c r="K60" s="296"/>
      <c r="L60" s="297"/>
    </row>
    <row r="61" customFormat="false" ht="14.25" hidden="false" customHeight="false" outlineLevel="0" collapsed="false">
      <c r="A61" s="281" t="n">
        <v>57</v>
      </c>
      <c r="B61" s="282" t="s">
        <v>65</v>
      </c>
      <c r="C61" s="283" t="n">
        <v>8</v>
      </c>
      <c r="D61" s="284" t="s">
        <v>506</v>
      </c>
      <c r="E61" s="283" t="s">
        <v>507</v>
      </c>
      <c r="H61" s="294"/>
      <c r="I61" s="293"/>
      <c r="J61" s="294"/>
      <c r="K61" s="293"/>
      <c r="L61" s="294"/>
    </row>
    <row r="62" customFormat="false" ht="14.25" hidden="false" customHeight="false" outlineLevel="0" collapsed="false">
      <c r="A62" s="281"/>
      <c r="B62" s="282" t="s">
        <v>65</v>
      </c>
      <c r="C62" s="283" t="n">
        <v>8</v>
      </c>
      <c r="D62" s="284" t="s">
        <v>508</v>
      </c>
      <c r="E62" s="298" t="s">
        <v>509</v>
      </c>
      <c r="H62" s="294"/>
      <c r="I62" s="293"/>
      <c r="J62" s="294"/>
      <c r="K62" s="293"/>
      <c r="L62" s="294"/>
    </row>
    <row r="63" customFormat="false" ht="14.25" hidden="false" customHeight="false" outlineLevel="0" collapsed="false">
      <c r="A63" s="281"/>
      <c r="B63" s="282" t="s">
        <v>65</v>
      </c>
      <c r="C63" s="283" t="n">
        <v>8</v>
      </c>
      <c r="D63" s="284" t="s">
        <v>510</v>
      </c>
      <c r="E63" s="299" t="s">
        <v>511</v>
      </c>
      <c r="H63" s="294"/>
      <c r="I63" s="293"/>
      <c r="J63" s="294"/>
      <c r="K63" s="293"/>
      <c r="L63" s="294"/>
    </row>
    <row r="64" customFormat="false" ht="14.25" hidden="false" customHeight="false" outlineLevel="0" collapsed="false">
      <c r="A64" s="281" t="n">
        <v>58</v>
      </c>
      <c r="B64" s="282" t="s">
        <v>62</v>
      </c>
      <c r="C64" s="283" t="n">
        <v>9</v>
      </c>
      <c r="D64" s="284" t="s">
        <v>512</v>
      </c>
      <c r="E64" s="283" t="s">
        <v>513</v>
      </c>
      <c r="H64" s="294"/>
      <c r="I64" s="293"/>
      <c r="J64" s="294"/>
      <c r="K64" s="293"/>
      <c r="L64" s="294"/>
    </row>
    <row r="65" customFormat="false" ht="14.25" hidden="false" customHeight="false" outlineLevel="0" collapsed="false">
      <c r="A65" s="281" t="n">
        <v>59</v>
      </c>
      <c r="B65" s="282" t="s">
        <v>62</v>
      </c>
      <c r="C65" s="283" t="n">
        <v>9</v>
      </c>
      <c r="D65" s="284" t="s">
        <v>514</v>
      </c>
      <c r="E65" s="283" t="s">
        <v>515</v>
      </c>
      <c r="H65" s="294"/>
      <c r="I65" s="293"/>
      <c r="J65" s="294"/>
      <c r="K65" s="293"/>
      <c r="L65" s="294"/>
    </row>
    <row r="66" customFormat="false" ht="14.25" hidden="false" customHeight="false" outlineLevel="0" collapsed="false">
      <c r="A66" s="281" t="n">
        <v>60</v>
      </c>
      <c r="B66" s="282" t="s">
        <v>66</v>
      </c>
      <c r="C66" s="283" t="n">
        <v>10</v>
      </c>
      <c r="D66" s="284" t="s">
        <v>516</v>
      </c>
      <c r="E66" s="283" t="s">
        <v>517</v>
      </c>
      <c r="G66" s="295"/>
      <c r="I66" s="296"/>
      <c r="J66" s="297"/>
      <c r="K66" s="296"/>
      <c r="L66" s="297"/>
    </row>
    <row r="67" customFormat="false" ht="14.25" hidden="false" customHeight="false" outlineLevel="0" collapsed="false">
      <c r="A67" s="281" t="n">
        <v>61</v>
      </c>
      <c r="B67" s="282" t="s">
        <v>66</v>
      </c>
      <c r="C67" s="283" t="n">
        <v>10</v>
      </c>
      <c r="D67" s="284" t="s">
        <v>518</v>
      </c>
      <c r="E67" s="283" t="s">
        <v>519</v>
      </c>
    </row>
    <row r="68" customFormat="false" ht="14.25" hidden="false" customHeight="false" outlineLevel="0" collapsed="false">
      <c r="A68" s="281" t="n">
        <v>62</v>
      </c>
      <c r="B68" s="282" t="s">
        <v>66</v>
      </c>
      <c r="C68" s="283" t="n">
        <v>10</v>
      </c>
      <c r="D68" s="284" t="s">
        <v>520</v>
      </c>
      <c r="E68" s="283" t="s">
        <v>521</v>
      </c>
    </row>
    <row r="69" customFormat="false" ht="14.25" hidden="false" customHeight="false" outlineLevel="0" collapsed="false">
      <c r="A69" s="281" t="n">
        <v>63</v>
      </c>
      <c r="B69" s="282" t="s">
        <v>66</v>
      </c>
      <c r="C69" s="283" t="n">
        <v>10</v>
      </c>
      <c r="D69" s="284" t="s">
        <v>522</v>
      </c>
      <c r="E69" s="283" t="s">
        <v>523</v>
      </c>
    </row>
    <row r="70" customFormat="false" ht="14.25" hidden="false" customHeight="false" outlineLevel="0" collapsed="false">
      <c r="A70" s="281" t="n">
        <v>64</v>
      </c>
      <c r="B70" s="282" t="s">
        <v>66</v>
      </c>
      <c r="C70" s="283" t="n">
        <v>10</v>
      </c>
      <c r="D70" s="284" t="s">
        <v>524</v>
      </c>
      <c r="E70" s="283" t="s">
        <v>525</v>
      </c>
    </row>
    <row r="71" customFormat="false" ht="14.25" hidden="false" customHeight="false" outlineLevel="0" collapsed="false">
      <c r="A71" s="281" t="n">
        <v>65</v>
      </c>
      <c r="B71" s="282" t="s">
        <v>68</v>
      </c>
      <c r="C71" s="283" t="n">
        <v>11</v>
      </c>
      <c r="D71" s="284" t="s">
        <v>526</v>
      </c>
      <c r="E71" s="283" t="s">
        <v>527</v>
      </c>
    </row>
    <row r="72" customFormat="false" ht="14.25" hidden="false" customHeight="false" outlineLevel="0" collapsed="false">
      <c r="A72" s="281" t="n">
        <v>66</v>
      </c>
      <c r="B72" s="282" t="s">
        <v>68</v>
      </c>
      <c r="C72" s="283" t="n">
        <v>11</v>
      </c>
      <c r="D72" s="284" t="s">
        <v>528</v>
      </c>
      <c r="E72" s="283" t="s">
        <v>529</v>
      </c>
    </row>
    <row r="73" customFormat="false" ht="14.25" hidden="false" customHeight="false" outlineLevel="0" collapsed="false">
      <c r="A73" s="281" t="n">
        <v>67</v>
      </c>
      <c r="B73" s="282" t="s">
        <v>68</v>
      </c>
      <c r="C73" s="283" t="n">
        <v>11</v>
      </c>
      <c r="D73" s="284" t="s">
        <v>530</v>
      </c>
      <c r="E73" s="287" t="s">
        <v>531</v>
      </c>
    </row>
    <row r="74" customFormat="false" ht="14.25" hidden="false" customHeight="false" outlineLevel="0" collapsed="false">
      <c r="A74" s="281" t="n">
        <v>68</v>
      </c>
      <c r="B74" s="282" t="s">
        <v>68</v>
      </c>
      <c r="C74" s="283" t="n">
        <v>11</v>
      </c>
      <c r="D74" s="284" t="s">
        <v>532</v>
      </c>
      <c r="E74" s="287" t="s">
        <v>533</v>
      </c>
    </row>
    <row r="75" customFormat="false" ht="14.25" hidden="false" customHeight="false" outlineLevel="0" collapsed="false">
      <c r="A75" s="281" t="n">
        <v>69</v>
      </c>
      <c r="B75" s="282" t="s">
        <v>68</v>
      </c>
      <c r="C75" s="283" t="n">
        <v>11</v>
      </c>
      <c r="D75" s="284" t="s">
        <v>534</v>
      </c>
      <c r="E75" s="289" t="s">
        <v>535</v>
      </c>
    </row>
    <row r="76" customFormat="false" ht="14.25" hidden="false" customHeight="true" outlineLevel="0" collapsed="false">
      <c r="A76" s="281" t="n">
        <v>71</v>
      </c>
      <c r="B76" s="282" t="s">
        <v>70</v>
      </c>
      <c r="C76" s="283" t="n">
        <v>12</v>
      </c>
      <c r="D76" s="284" t="s">
        <v>536</v>
      </c>
      <c r="E76" s="283" t="s">
        <v>537</v>
      </c>
    </row>
    <row r="77" customFormat="false" ht="14.25" hidden="false" customHeight="false" outlineLevel="0" collapsed="false">
      <c r="A77" s="281" t="n">
        <v>72</v>
      </c>
      <c r="B77" s="282" t="s">
        <v>70</v>
      </c>
      <c r="C77" s="292" t="n">
        <v>12</v>
      </c>
      <c r="D77" s="284" t="s">
        <v>538</v>
      </c>
      <c r="E77" s="283" t="s">
        <v>539</v>
      </c>
    </row>
    <row r="78" customFormat="false" ht="14.25" hidden="false" customHeight="false" outlineLevel="0" collapsed="false">
      <c r="A78" s="281" t="n">
        <v>73</v>
      </c>
      <c r="B78" s="282" t="s">
        <v>70</v>
      </c>
      <c r="C78" s="283" t="n">
        <v>12</v>
      </c>
      <c r="D78" s="284" t="s">
        <v>540</v>
      </c>
      <c r="E78" s="283" t="s">
        <v>541</v>
      </c>
    </row>
    <row r="79" customFormat="false" ht="14.25" hidden="false" customHeight="false" outlineLevel="0" collapsed="false">
      <c r="A79" s="281" t="n">
        <v>74</v>
      </c>
      <c r="B79" s="282" t="s">
        <v>70</v>
      </c>
      <c r="C79" s="283" t="n">
        <v>12</v>
      </c>
      <c r="D79" s="284" t="s">
        <v>542</v>
      </c>
      <c r="E79" s="283" t="s">
        <v>543</v>
      </c>
    </row>
    <row r="80" customFormat="false" ht="14.25" hidden="false" customHeight="false" outlineLevel="0" collapsed="false">
      <c r="A80" s="281" t="n">
        <v>75</v>
      </c>
      <c r="B80" s="282" t="s">
        <v>70</v>
      </c>
      <c r="C80" s="283" t="n">
        <v>12</v>
      </c>
      <c r="D80" s="284" t="s">
        <v>544</v>
      </c>
      <c r="E80" s="283" t="s">
        <v>545</v>
      </c>
    </row>
    <row r="81" customFormat="false" ht="14.25" hidden="false" customHeight="false" outlineLevel="0" collapsed="false">
      <c r="A81" s="281" t="n">
        <v>75</v>
      </c>
      <c r="B81" s="282" t="s">
        <v>72</v>
      </c>
      <c r="C81" s="283" t="n">
        <v>13</v>
      </c>
      <c r="D81" s="284" t="s">
        <v>546</v>
      </c>
      <c r="E81" s="283" t="s">
        <v>547</v>
      </c>
    </row>
    <row r="82" customFormat="false" ht="14.25" hidden="false" customHeight="false" outlineLevel="0" collapsed="false">
      <c r="A82" s="281" t="n">
        <v>76</v>
      </c>
      <c r="B82" s="282" t="s">
        <v>72</v>
      </c>
      <c r="C82" s="283" t="n">
        <v>13</v>
      </c>
      <c r="D82" s="284" t="s">
        <v>548</v>
      </c>
      <c r="E82" s="283" t="s">
        <v>549</v>
      </c>
    </row>
    <row r="83" customFormat="false" ht="14.25" hidden="false" customHeight="false" outlineLevel="0" collapsed="false">
      <c r="A83" s="281" t="n">
        <v>77</v>
      </c>
      <c r="B83" s="282" t="s">
        <v>72</v>
      </c>
      <c r="C83" s="283" t="n">
        <v>13</v>
      </c>
      <c r="D83" s="284" t="s">
        <v>550</v>
      </c>
      <c r="E83" s="283" t="s">
        <v>551</v>
      </c>
    </row>
    <row r="84" customFormat="false" ht="14.25" hidden="false" customHeight="false" outlineLevel="0" collapsed="false">
      <c r="A84" s="281" t="n">
        <v>78</v>
      </c>
      <c r="B84" s="281" t="s">
        <v>72</v>
      </c>
      <c r="C84" s="283" t="n">
        <v>13</v>
      </c>
      <c r="D84" s="284" t="s">
        <v>552</v>
      </c>
      <c r="E84" s="283" t="s">
        <v>553</v>
      </c>
    </row>
    <row r="85" customFormat="false" ht="14.25" hidden="false" customHeight="false" outlineLevel="0" collapsed="false">
      <c r="A85" s="281" t="n">
        <v>79</v>
      </c>
      <c r="B85" s="281" t="s">
        <v>72</v>
      </c>
      <c r="C85" s="283" t="n">
        <v>13</v>
      </c>
      <c r="D85" s="284" t="s">
        <v>554</v>
      </c>
      <c r="E85" s="290" t="s">
        <v>420</v>
      </c>
    </row>
    <row r="86" customFormat="false" ht="14.25" hidden="false" customHeight="false" outlineLevel="0" collapsed="false">
      <c r="A86" s="281" t="n">
        <v>80</v>
      </c>
      <c r="B86" s="281" t="s">
        <v>73</v>
      </c>
      <c r="C86" s="283" t="n">
        <v>14</v>
      </c>
      <c r="D86" s="284" t="s">
        <v>555</v>
      </c>
      <c r="E86" s="290" t="s">
        <v>420</v>
      </c>
      <c r="G86" s="294"/>
    </row>
    <row r="87" customFormat="false" ht="14.25" hidden="false" customHeight="false" outlineLevel="0" collapsed="false">
      <c r="A87" s="281" t="n">
        <v>81</v>
      </c>
      <c r="B87" s="281" t="s">
        <v>73</v>
      </c>
      <c r="C87" s="283" t="n">
        <v>14</v>
      </c>
      <c r="D87" s="284" t="s">
        <v>556</v>
      </c>
      <c r="E87" s="283" t="s">
        <v>557</v>
      </c>
    </row>
    <row r="88" customFormat="false" ht="14.25" hidden="false" customHeight="false" outlineLevel="0" collapsed="false">
      <c r="A88" s="281" t="n">
        <v>82</v>
      </c>
      <c r="B88" s="281" t="s">
        <v>73</v>
      </c>
      <c r="C88" s="283" t="n">
        <v>14</v>
      </c>
      <c r="D88" s="284" t="s">
        <v>558</v>
      </c>
      <c r="E88" s="283" t="s">
        <v>559</v>
      </c>
    </row>
    <row r="89" customFormat="false" ht="14.25" hidden="false" customHeight="false" outlineLevel="0" collapsed="false">
      <c r="A89" s="281" t="n">
        <v>83</v>
      </c>
      <c r="B89" s="281" t="s">
        <v>73</v>
      </c>
      <c r="C89" s="287" t="n">
        <v>14</v>
      </c>
      <c r="D89" s="284" t="s">
        <v>560</v>
      </c>
      <c r="E89" s="283" t="s">
        <v>561</v>
      </c>
    </row>
    <row r="90" customFormat="false" ht="14.25" hidden="false" customHeight="false" outlineLevel="0" collapsed="false">
      <c r="A90" s="281" t="n">
        <v>84</v>
      </c>
      <c r="B90" s="281" t="s">
        <v>73</v>
      </c>
      <c r="C90" s="287" t="n">
        <v>14</v>
      </c>
      <c r="D90" s="284" t="s">
        <v>562</v>
      </c>
      <c r="E90" s="287" t="s">
        <v>563</v>
      </c>
    </row>
    <row r="91" customFormat="false" ht="14.25" hidden="false" customHeight="false" outlineLevel="0" collapsed="false">
      <c r="A91" s="281" t="n">
        <v>85</v>
      </c>
      <c r="B91" s="281" t="s">
        <v>73</v>
      </c>
      <c r="C91" s="287" t="n">
        <v>14</v>
      </c>
      <c r="D91" s="284" t="s">
        <v>564</v>
      </c>
      <c r="E91" s="287" t="s">
        <v>565</v>
      </c>
    </row>
    <row r="92" customFormat="false" ht="14.25" hidden="false" customHeight="false" outlineLevel="0" collapsed="false">
      <c r="A92" s="281" t="n">
        <v>86</v>
      </c>
      <c r="B92" s="281" t="s">
        <v>73</v>
      </c>
      <c r="C92" s="287" t="n">
        <v>14</v>
      </c>
      <c r="D92" s="284" t="s">
        <v>566</v>
      </c>
      <c r="E92" s="287" t="s">
        <v>420</v>
      </c>
    </row>
    <row r="93" customFormat="false" ht="14.25" hidden="false" customHeight="true" outlineLevel="0" collapsed="false">
      <c r="A93" s="300" t="n">
        <v>87</v>
      </c>
      <c r="B93" s="300" t="s">
        <v>73</v>
      </c>
      <c r="C93" s="301" t="n">
        <v>14</v>
      </c>
      <c r="D93" s="302" t="s">
        <v>567</v>
      </c>
      <c r="E93" s="301" t="s">
        <v>568</v>
      </c>
    </row>
    <row r="94" customFormat="false" ht="14.25" hidden="false" customHeight="false" outlineLevel="0" collapsed="false">
      <c r="A94" s="281" t="n">
        <v>88</v>
      </c>
      <c r="B94" s="281" t="s">
        <v>73</v>
      </c>
      <c r="C94" s="287" t="n">
        <v>14</v>
      </c>
      <c r="D94" s="284" t="s">
        <v>569</v>
      </c>
      <c r="E94" s="303" t="s">
        <v>420</v>
      </c>
    </row>
    <row r="95" customFormat="false" ht="14.25" hidden="false" customHeight="false" outlineLevel="0" collapsed="false">
      <c r="A95" s="281" t="n">
        <v>89</v>
      </c>
      <c r="B95" s="281" t="s">
        <v>75</v>
      </c>
      <c r="C95" s="287" t="n">
        <v>15</v>
      </c>
      <c r="D95" s="284" t="s">
        <v>570</v>
      </c>
      <c r="E95" s="287" t="s">
        <v>571</v>
      </c>
    </row>
    <row r="96" customFormat="false" ht="14.25" hidden="false" customHeight="false" outlineLevel="0" collapsed="false">
      <c r="A96" s="281" t="n">
        <v>90</v>
      </c>
      <c r="B96" s="281" t="s">
        <v>75</v>
      </c>
      <c r="C96" s="287" t="n">
        <v>15</v>
      </c>
      <c r="D96" s="284" t="s">
        <v>572</v>
      </c>
      <c r="E96" s="287" t="s">
        <v>573</v>
      </c>
    </row>
    <row r="97" customFormat="false" ht="14.25" hidden="false" customHeight="false" outlineLevel="0" collapsed="false">
      <c r="A97" s="281" t="n">
        <v>91</v>
      </c>
      <c r="B97" s="281" t="s">
        <v>76</v>
      </c>
      <c r="C97" s="287" t="n">
        <v>16</v>
      </c>
      <c r="D97" s="284" t="s">
        <v>574</v>
      </c>
      <c r="E97" s="287" t="s">
        <v>575</v>
      </c>
    </row>
    <row r="98" customFormat="false" ht="14.25" hidden="false" customHeight="false" outlineLevel="0" collapsed="false">
      <c r="A98" s="281" t="n">
        <v>92</v>
      </c>
      <c r="B98" s="281" t="s">
        <v>76</v>
      </c>
      <c r="C98" s="287" t="n">
        <v>16</v>
      </c>
      <c r="D98" s="284" t="s">
        <v>576</v>
      </c>
      <c r="E98" s="287" t="s">
        <v>577</v>
      </c>
    </row>
    <row r="99" customFormat="false" ht="14.25" hidden="false" customHeight="false" outlineLevel="0" collapsed="false">
      <c r="A99" s="304"/>
      <c r="B99" s="304"/>
      <c r="D99" s="305"/>
      <c r="E99" s="306"/>
    </row>
    <row r="100" customFormat="false" ht="14.25" hidden="false" customHeight="false" outlineLevel="0" collapsed="false">
      <c r="A100" s="304"/>
      <c r="B100" s="304"/>
      <c r="D100" s="305"/>
      <c r="E100" s="306"/>
    </row>
    <row r="104" customFormat="false" ht="14.25" hidden="false" customHeight="false" outlineLevel="0" collapsed="false">
      <c r="E104" s="307" t="n">
        <v>89</v>
      </c>
    </row>
    <row r="105" customFormat="false" ht="14.25" hidden="false" customHeight="false" outlineLevel="0" collapsed="false">
      <c r="D105" s="307" t="s">
        <v>420</v>
      </c>
      <c r="E105" s="307" t="n">
        <v>12</v>
      </c>
    </row>
    <row r="106" customFormat="false" ht="14.25" hidden="false" customHeight="false" outlineLevel="0" collapsed="false">
      <c r="D106" s="307" t="s">
        <v>578</v>
      </c>
      <c r="E106" s="307"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1062</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2026-06-24T17:23:08Z</cp:lastPrinted>
  <dcterms:modified xsi:type="dcterms:W3CDTF">2026-07-03T09:40:33Z</dcterms:modified>
  <cp:revision>178</cp:revision>
  <dc:subject/>
  <dc:title/>
</cp:coreProperties>
</file>

<file path=docProps/custom.xml><?xml version="1.0" encoding="utf-8"?>
<Properties xmlns="http://schemas.openxmlformats.org/officeDocument/2006/custom-properties" xmlns:vt="http://schemas.openxmlformats.org/officeDocument/2006/docPropsVTypes"/>
</file>